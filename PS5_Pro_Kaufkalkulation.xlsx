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alkulation" sheetId="1" state="visible" r:id="rId3"/>
    <sheet name="PSN-Karten" sheetId="2" state="visible" r:id="rId4"/>
    <sheet name="Sparhebel" sheetId="3" state="visible" r:id="rId5"/>
    <sheet name="Szenarie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<sst xmlns="http://schemas.openxmlformats.org/spreadsheetml/2006/main" count="226" uniqueCount="206">
  <si>
    <t xml:space="preserve">PlayStation 5 Pro — Kaufkalkulation</t>
  </si>
  <si>
    <t xml:space="preserve">Alle Beträge in Euro · Blaue Zahlen = Eingaben, die du ändern kannst · Schwarze Zahlen = berechnet · Grüne Zahlen = von einem anderen Blatt</t>
  </si>
  <si>
    <t xml:space="preserve">1. Eingaben</t>
  </si>
  <si>
    <t xml:space="preserve">Position</t>
  </si>
  <si>
    <t xml:space="preserve">Wert</t>
  </si>
  <si>
    <t xml:space="preserve">Hinweis</t>
  </si>
  <si>
    <t xml:space="preserve">Listenpreis PS5 Pro</t>
  </si>
  <si>
    <t xml:space="preserve">Bestätigt: 899,99 € ist die offizielle UVP seit der Preiserhöhung vom 02.04.2026. Deine Zwischenwerte 482,99 / 432,99 gehen damit exakt auf.</t>
  </si>
  <si>
    <t xml:space="preserve">Warenkorb-Rabatt (sofort)</t>
  </si>
  <si>
    <t xml:space="preserve">Wird direkt im Warenkorb abgezogen.</t>
  </si>
  <si>
    <t xml:space="preserve">Eintauschwert PS5 Slim</t>
  </si>
  <si>
    <t xml:space="preserve">Betrag, den du für die alte Konsole bekommst.</t>
  </si>
  <si>
    <t xml:space="preserve">Eintausch-Bonus von PlayStation</t>
  </si>
  <si>
    <t xml:space="preserve">Zusätzlicher Gutschein, nur bei Eintausch — nicht bei Privatverkauf.</t>
  </si>
  <si>
    <t xml:space="preserve">PSN-Karte — Nennwert</t>
  </si>
  <si>
    <t xml:space="preserve">Guthaben, das die Karte auf dem Konto gutschreibt.</t>
  </si>
  <si>
    <t xml:space="preserve">PSN-Karte — dein Kaufpreis</t>
  </si>
  <si>
    <t xml:space="preserve">Dein gefundener Preis. Es geht deutlich günstiger — siehe Blatt "PSN-Karten".</t>
  </si>
  <si>
    <t xml:space="preserve">2. Rechenweg bis zum Eigenanteil</t>
  </si>
  <si>
    <t xml:space="preserve">abzüglich Warenkorb-Rabatt</t>
  </si>
  <si>
    <t xml:space="preserve">Preis im Warenkorb</t>
  </si>
  <si>
    <t xml:space="preserve">Das steht an der Kasse.</t>
  </si>
  <si>
    <t xml:space="preserve">abzüglich Eintauschwert PS5 Slim</t>
  </si>
  <si>
    <t xml:space="preserve">Zwischensumme</t>
  </si>
  <si>
    <t xml:space="preserve">Deine genannten 482,99 €.</t>
  </si>
  <si>
    <t xml:space="preserve">abzüglich Eintausch-Bonus</t>
  </si>
  <si>
    <t xml:space="preserve">Eigenanteil — so viel zahlst du selbst</t>
  </si>
  <si>
    <t xml:space="preserve">Deine genannten 432,99 €. Basis für alles Weitere.</t>
  </si>
  <si>
    <t xml:space="preserve">3. Zahlung mit vergünstigten PSN-Guthabenkarten</t>
  </si>
  <si>
    <t xml:space="preserve">Details und Stückzahlen auf dem Blatt "PSN-Karten".</t>
  </si>
  <si>
    <t xml:space="preserve">Ersparnis pro Karte</t>
  </si>
  <si>
    <t xml:space="preserve">Nennwert minus Kaufpreis.</t>
  </si>
  <si>
    <t xml:space="preserve">Rabatt in Prozent</t>
  </si>
  <si>
    <t xml:space="preserve">Zum Vergleich: seriöse Anbieter liegen bei 12-18 %.</t>
  </si>
  <si>
    <t xml:space="preserve">Variante A — nur volle Karten, Rest bar</t>
  </si>
  <si>
    <t xml:space="preserve">Empfohlen: kein Restguthaben, das liegen bleibt.</t>
  </si>
  <si>
    <t xml:space="preserve">Variante B — aufrunden, Barkosten</t>
  </si>
  <si>
    <t xml:space="preserve">Höhere Barkosten, dafür bleibt Guthaben übrig.</t>
  </si>
  <si>
    <t xml:space="preserve">Variante B — Restguthaben danach</t>
  </si>
  <si>
    <t xml:space="preserve">Nur etwas wert, wenn du es wirklich für Spiele ausgibst.</t>
  </si>
  <si>
    <t xml:space="preserve">4. Gegenprobe: Eintausch oder lieber privat verkaufen?</t>
  </si>
  <si>
    <t xml:space="preserve">Eintausch bringt insgesamt</t>
  </si>
  <si>
    <t xml:space="preserve">Eintauschwert plus Bonus.</t>
  </si>
  <si>
    <t xml:space="preserve">Privatverkauf lohnt sich ab</t>
  </si>
  <si>
    <t xml:space="preserve">Erst oberhalb dieses Preises ist ein privater Verkauf besser.</t>
  </si>
  <si>
    <t xml:space="preserve">Barwert des Bonus, falls PSN-Guthaben</t>
  </si>
  <si>
    <t xml:space="preserve">Ein 50-€-PSN-Gutschein ist real nur so viel wert, wie er als Karte kostet.</t>
  </si>
  <si>
    <t xml:space="preserve">Eintausch bar bewertet</t>
  </si>
  <si>
    <t xml:space="preserve">Realistischere Vergleichsschwelle, wenn der Bonus PSN-Guthaben ist.</t>
  </si>
  <si>
    <t xml:space="preserve">5. Wichtige Hinweise</t>
  </si>
  <si>
    <t xml:space="preserve">•  KRITISCH ZUERST PRÜFEN: Kann die Konsole überhaupt mit PSN-Guthaben bezahlt werden? Bei PlayStation Direct gilt Wallet-Guthaben üblicherweise nur für Spiele, Add-ons und Abos, nicht für Hardware. Klappt es nicht, fällt die gesamte Kartenrechnung weg und du bleibst beim Eigenanteil aus Zeile 20.</t>
  </si>
  <si>
    <t xml:space="preserve">•  Die 372 € und der 50-€-Bonus gehören zum selben Vorgang: Du kannst die Slim entweder eintauschen ODER privat verkaufen, nicht beides.</t>
  </si>
  <si>
    <t xml:space="preserve">•  Ist der 50-€-Bonus ein PSN-Gutschein statt Bargeld, sinkt sein echter Wert auf den Kartenpreis (Zeile 34).</t>
  </si>
  <si>
    <t xml:space="preserve">•  Deutlich mehr Sparmöglichkeiten stehen auf dem Blatt "Sparhebel" — dort liegt das meiste Geld.</t>
  </si>
  <si>
    <t xml:space="preserve">•  Preise und Konditionen aus deinen Angaben vom 12.08.2026, ergänzt um recherchierte Marktdaten. Vor dem Kauf selbst gegenprüfen.</t>
  </si>
  <si>
    <t xml:space="preserve">PSN-Guthabenkarten — wie viele, und zu welchem Preis?</t>
  </si>
  <si>
    <t xml:space="preserve">Grüne Zahlen kommen vom Blatt "Kalkulation".</t>
  </si>
  <si>
    <t xml:space="preserve">Ausgangslage</t>
  </si>
  <si>
    <t xml:space="preserve">Eigenanteil laut Kalkulation</t>
  </si>
  <si>
    <t xml:space="preserve">Nennwert je Karte</t>
  </si>
  <si>
    <t xml:space="preserve">Kaufpreis je Karte</t>
  </si>
  <si>
    <t xml:space="preserve">Ersparnis je Karte</t>
  </si>
  <si>
    <t xml:space="preserve">Variante A — nur volle Karten kaufen, Rest normal bezahlen</t>
  </si>
  <si>
    <t xml:space="preserve">Rechnerisch benötigte Karten</t>
  </si>
  <si>
    <t xml:space="preserve">Eigenanteil geteilt durch den Nennwert.</t>
  </si>
  <si>
    <t xml:space="preserve">Karten kaufen (abgerundet)</t>
  </si>
  <si>
    <t xml:space="preserve">Nur volle Karten.</t>
  </si>
  <si>
    <t xml:space="preserve">Damit gekauftes Guthaben</t>
  </si>
  <si>
    <t xml:space="preserve">Kosten der Karten</t>
  </si>
  <si>
    <t xml:space="preserve">Restbetrag normal bezahlen</t>
  </si>
  <si>
    <t xml:space="preserve">Per Karte oder PayPal, ohne Rabatt.</t>
  </si>
  <si>
    <t xml:space="preserve">Restguthaben übrig</t>
  </si>
  <si>
    <t xml:space="preserve">Es bleibt nichts liegen — der große Vorteil dieser Variante.</t>
  </si>
  <si>
    <t xml:space="preserve">Gesamtkosten Variante A</t>
  </si>
  <si>
    <t xml:space="preserve">Das zahlst du am Ende wirklich.</t>
  </si>
  <si>
    <t xml:space="preserve">Ersparnis gegenüber Direktzahlung</t>
  </si>
  <si>
    <t xml:space="preserve">Variante B — aufrunden und alles mit Guthaben bezahlen</t>
  </si>
  <si>
    <t xml:space="preserve">Karten kaufen (aufgerundet)</t>
  </si>
  <si>
    <t xml:space="preserve">Restguthaben nach dem Kauf</t>
  </si>
  <si>
    <t xml:space="preserve">Bleibt auf dem PSN-Konto liegen.</t>
  </si>
  <si>
    <t xml:space="preserve">Barkosten Variante B</t>
  </si>
  <si>
    <t xml:space="preserve">Höher als Variante A — du kaufst Guthaben auf Vorrat.</t>
  </si>
  <si>
    <t xml:space="preserve">Effektive Kosten, Restguthaben voll gerechnet</t>
  </si>
  <si>
    <t xml:space="preserve">Nur gültig, wenn du die restlichen Euro sicher für Spiele ausgibst.</t>
  </si>
  <si>
    <t xml:space="preserve">Übersicht: Karten, Guthaben und Ersparnis</t>
  </si>
  <si>
    <t xml:space="preserve">Karten</t>
  </si>
  <si>
    <t xml:space="preserve">Guthaben</t>
  </si>
  <si>
    <t xml:space="preserve">Kosten</t>
  </si>
  <si>
    <t xml:space="preserve">Ersparnis</t>
  </si>
  <si>
    <t xml:space="preserve">Rest zum Eigenanteil</t>
  </si>
  <si>
    <t xml:space="preserve">Was bringt eine günstigere Bezugsquelle?</t>
  </si>
  <si>
    <t xml:space="preserve">Recherchierte Marktpreise für 50 € PSN-Guthaben (Stand August 2026). Alle Zeilen rechnen mit der Kartenzahl aus Variante A.</t>
  </si>
  <si>
    <t xml:space="preserve">Kaufpreis je 50 €</t>
  </si>
  <si>
    <t xml:space="preserve">Rabatt</t>
  </si>
  <si>
    <t xml:space="preserve">Restbetrag bar</t>
  </si>
  <si>
    <t xml:space="preserve">Gesamt</t>
  </si>
  <si>
    <t xml:space="preserve">Mehrersparnis</t>
  </si>
  <si>
    <t xml:space="preserve">Dein aktueller Preis</t>
  </si>
  <si>
    <t xml:space="preserve">Häufige Aktionspreise im Handel</t>
  </si>
  <si>
    <t xml:space="preserve">Gut erreichbar bei Deal-Portalen</t>
  </si>
  <si>
    <t xml:space="preserve">Nur bei starken Aktionen</t>
  </si>
  <si>
    <t xml:space="preserve">Beworbener Bestpreis — Anbieter genau prüfen</t>
  </si>
  <si>
    <t xml:space="preserve">Achtung bei Grauimport-Shops: sehr günstige Codes stammen teils aus fremden Regionen oder aus Rückbuchungen. Ein gesperrter Code oder Account kostet mehr, als die Ersparnis bringt. Halte dich an etablierte Händler mit deutscher Region und Käuferschutz.</t>
  </si>
  <si>
    <t xml:space="preserve">Alle Sparhebel im Überblick</t>
  </si>
  <si>
    <t xml:space="preserve">So arbeitest du damit: Trage in der Spalte "Nutzen?" für jeden Hebel Ja, Nein oder Prüfen ein. Nur "Ja" zählt in die gesicherte Ersparnis; "Prüfen" fließt zusätzlich ins Maximalpotenzial.</t>
  </si>
  <si>
    <t xml:space="preserve">Stellschrauben — hier drehst du an den Annahmen</t>
  </si>
  <si>
    <t xml:space="preserve">Bester gefundener Marktpreis der Konsole</t>
  </si>
  <si>
    <t xml:space="preserve">Preisvergleiche listen die Pro deutlich unter der UVP von 899,99 €. Trage den Preis ein, den du wirklich findest.</t>
  </si>
  <si>
    <t xml:space="preserve">Cashback-Portal — Quote</t>
  </si>
  <si>
    <t xml:space="preserve">Shoop, iGraal &amp; Co. liegen bei 1-5 %. Konsolen sind oft ausgeschlossen — Bedingungen lesen.</t>
  </si>
  <si>
    <t xml:space="preserve">Kreditkarten-/Payback-Cashback</t>
  </si>
  <si>
    <t xml:space="preserve">Je nach Karte 0,5-2 % auf den Umsatz.</t>
  </si>
  <si>
    <t xml:space="preserve">Corporate Benefits / Mitarbeiterrabatt</t>
  </si>
  <si>
    <t xml:space="preserve">Über Arbeitgeberportale oft 3-10 % bei großen Elektronikhändlern.</t>
  </si>
  <si>
    <t xml:space="preserve">Newsletter-Gutschein für Neukunden</t>
  </si>
  <si>
    <t xml:space="preserve">Typisch 5-15 €, meist mit Mindestbestellwert.</t>
  </si>
  <si>
    <t xml:space="preserve">Punkteaktion auf Guthabenkarten</t>
  </si>
  <si>
    <t xml:space="preserve">Supermärkte fahren regelmäßig 10-20fach-Punkte auf PSN-Karten. Basis ist der Kartenwert.</t>
  </si>
  <si>
    <t xml:space="preserve">Preis der günstigsten seriösen PSN-Karte</t>
  </si>
  <si>
    <t xml:space="preserve">Recherchiert: 41-42 € sind bei Deal-Portalen gut erreichbar.</t>
  </si>
  <si>
    <t xml:space="preserve">Wert des Disc-Laufwerks der Slim</t>
  </si>
  <si>
    <t xml:space="preserve">UVP des abnehmbaren Laufwerks CFI-ZDD1.</t>
  </si>
  <si>
    <t xml:space="preserve">Erwarteter Privatverkaufspreis der Slim</t>
  </si>
  <si>
    <t xml:space="preserve">Was du bei Kleinanzeigen realistisch bekommst.</t>
  </si>
  <si>
    <t xml:space="preserve">Die Hebel</t>
  </si>
  <si>
    <t xml:space="preserve">Hebel</t>
  </si>
  <si>
    <t xml:space="preserve">Nutzen?</t>
  </si>
  <si>
    <t xml:space="preserve">Zählt sicher</t>
  </si>
  <si>
    <t xml:space="preserve">Max. möglich</t>
  </si>
  <si>
    <t xml:space="preserve">Worauf du achten musst</t>
  </si>
  <si>
    <t xml:space="preserve">A — Am Kaufpreis der Konsole selbst sparen</t>
  </si>
  <si>
    <t xml:space="preserve">Woanders kaufen statt zur UVP bei PlayStation Direct</t>
  </si>
  <si>
    <t xml:space="preserve">Prüfen</t>
  </si>
  <si>
    <t xml:space="preserve">Gegenrechnung: Der günstigere Händler spart am Preis, kostet dich aber den 50-€-Eintauschbonus. Nur der Nettovorteil steht hier.</t>
  </si>
  <si>
    <t xml:space="preserve">Auf Aktionswoche oder Black Friday warten</t>
  </si>
  <si>
    <t xml:space="preserve">Nein</t>
  </si>
  <si>
    <t xml:space="preserve">ALTERNATIVE zum Hebel darüber — nur einer davon kann gelten. Auf "Ja" setzen, wenn du diesen Weg wählst. Trage ein, was du dir vom Warten erwartest.</t>
  </si>
  <si>
    <t xml:space="preserve">Refurbished von Sony oder B-Ware statt Neuware</t>
  </si>
  <si>
    <t xml:space="preserve">ALTERNATIVE zu den Hebeln darüber. Mit Herstellergarantie, eventuell leichte Gebrauchsspuren.</t>
  </si>
  <si>
    <t xml:space="preserve">Bundle kaufen und beiliegendes Spiel weiterverkaufen</t>
  </si>
  <si>
    <t xml:space="preserve">ALTERNATIVE zu den Hebeln darüber. Lohnt nur, wenn das Bundle nicht teurer ist als die nackte Konsole.</t>
  </si>
  <si>
    <t xml:space="preserve">B — Rabatte, die oben drauf kommen</t>
  </si>
  <si>
    <t xml:space="preserve">Cashback-Portal vorschalten</t>
  </si>
  <si>
    <t xml:space="preserve">Vor dem Kauf über das Portal einsteigen, sonst zählt es nicht. Konsolen sind häufig ausgeschlossen.</t>
  </si>
  <si>
    <t xml:space="preserve">Kreditkarten- oder Payback-Cashback</t>
  </si>
  <si>
    <t xml:space="preserve">Läuft automatisch über die Zahlungsart, lässt sich meist mit allem kombinieren.</t>
  </si>
  <si>
    <t xml:space="preserve">ALTERNATIVE zum Cashback-Portal — beide verlangen einen eigenen Kaufweg. Wenn dein Arbeitgeber ein Portal hat, hier auf "Ja" und Cashback auf "Nein".</t>
  </si>
  <si>
    <t xml:space="preserve">Newsletter-Gutschein als Neukunde</t>
  </si>
  <si>
    <t xml:space="preserve">Einmalig pro Händler, oft mit Mindestbestellwert.</t>
  </si>
  <si>
    <t xml:space="preserve">Punkteaktion auf Guthabenkarten mitnehmen</t>
  </si>
  <si>
    <t xml:space="preserve">Karten im Supermarkt während einer Punkteaktion kaufen. Punkte anschließend in Prämien oder Cent umwandeln.</t>
  </si>
  <si>
    <t xml:space="preserve">Günstigere PSN-Kartenquelle nutzen</t>
  </si>
  <si>
    <t xml:space="preserve">Dein Preis liegt bei 45,49 €, gut erreichbar sind 41-42 €. Nur seriöse Händler mit deutscher Region.</t>
  </si>
  <si>
    <t xml:space="preserve">C — Kosten vermeiden und Zusatzerlöse</t>
  </si>
  <si>
    <t xml:space="preserve">Disc-Laufwerk der Slim behalten statt mitzugeben</t>
  </si>
  <si>
    <t xml:space="preserve">Bestätigt: Das abnehmbare Laufwerk CFI-ZDD1 der PS5 Slim passt an die PS5 Pro. Vor dem Eintausch klären, ob es abgegeben werden muss — sonst verschenkst du ein 79,99-€-Teil.</t>
  </si>
  <si>
    <t xml:space="preserve">Privatverkauf statt Eintausch, falls er mehr bringt</t>
  </si>
  <si>
    <t xml:space="preserve">Zählt nur, was über Eintauschwert plus Bonus hinausgeht. Bei 372 € Erwartung ist der Eintausch besser.</t>
  </si>
  <si>
    <t xml:space="preserve">Vorhandenes Zubehör weiternutzen</t>
  </si>
  <si>
    <t xml:space="preserve">Ja</t>
  </si>
  <si>
    <t xml:space="preserve">DualSense, HDMI-Kabel und Standfuß der Slim passen weiter. Kostet nichts und spart Neukäufe.</t>
  </si>
  <si>
    <t xml:space="preserve">Nachträgliche Preisgarantie geltend machen</t>
  </si>
  <si>
    <t xml:space="preserve">Manche Händler erstatten die Differenz, wenn der Preis binnen 14-30 Tagen fällt. Nach dem Kauf beobachten.</t>
  </si>
  <si>
    <t xml:space="preserve">Spiele und Zubehör der Slim separat verkaufen</t>
  </si>
  <si>
    <t xml:space="preserve">Discs, Zweitcontroller und Ladestationen bringen einzeln oft mehr als im Paket.</t>
  </si>
  <si>
    <t xml:space="preserve">Was dabei herauskommt</t>
  </si>
  <si>
    <t xml:space="preserve">Bester Plan bisher (Variante A)</t>
  </si>
  <si>
    <t xml:space="preserve">Aus dem Blatt "PSN-Karten" — Stand vor den Hebeln dieser Seite.</t>
  </si>
  <si>
    <t xml:space="preserve">Gesicherte Zusatzersparnis</t>
  </si>
  <si>
    <t xml:space="preserve">Summe aller Hebel, die du auf "Ja" gesetzt hast.</t>
  </si>
  <si>
    <t xml:space="preserve">Zusätzlich möglich, wenn die Prüfungen klappen</t>
  </si>
  <si>
    <t xml:space="preserve">Alles, was noch auf "Prüfen" steht.</t>
  </si>
  <si>
    <t xml:space="preserve">Endpreis mit gesicherten Hebeln</t>
  </si>
  <si>
    <t xml:space="preserve">Das zahlst du nach heutigem Stand.</t>
  </si>
  <si>
    <t xml:space="preserve">Endpreis, wenn alle Hebel greifen</t>
  </si>
  <si>
    <t xml:space="preserve">Optimistisch — mehrere Hebel schließen sich in der Praxis gegenseitig aus.</t>
  </si>
  <si>
    <t xml:space="preserve">Warum das Best-Case-Ergebnis nicht wörtlich zu nehmen ist: "Woanders kaufen", "Refurbished" und "Auf Aktion warten" beschreiben denselben Kauf auf drei Wegen — du kannst nur einen gehen. Ebenso schließen sich Cashback-Portal und Corporate Benefits meist aus, weil beide einen eigenen Kaufweg verlangen. Setze diese Zeilen bewusst auf "Nein", sobald du dich entschieden hast, dann stimmt die Summe.</t>
  </si>
  <si>
    <t xml:space="preserve">Szenarien im Vergleich</t>
  </si>
  <si>
    <t xml:space="preserve">Von "nichts tun" bis "alles mitnehmen" — jede Zeile baut auf der vorherigen auf.</t>
  </si>
  <si>
    <t xml:space="preserve">Szenario</t>
  </si>
  <si>
    <t xml:space="preserve">Kosten für dich</t>
  </si>
  <si>
    <t xml:space="preserve">Was du dafür tun musst</t>
  </si>
  <si>
    <t xml:space="preserve">1 — Einfach zum Listenpreis kaufen</t>
  </si>
  <si>
    <t xml:space="preserve">Nichts. Referenzwert für alle Vergleiche.</t>
  </si>
  <si>
    <t xml:space="preserve">2 — Mit Warenkorb-Rabatt</t>
  </si>
  <si>
    <t xml:space="preserve">Rabatt wird automatisch abgezogen.</t>
  </si>
  <si>
    <t xml:space="preserve">3 — Plus Eintausch der PS5 Slim</t>
  </si>
  <si>
    <t xml:space="preserve">Alte Konsole einschicken bzw. abgeben.</t>
  </si>
  <si>
    <t xml:space="preserve">4 — Plus 50-€-Eintausch-Bonus</t>
  </si>
  <si>
    <t xml:space="preserve">Eintausch über die Bonus-Aktion abwickeln.</t>
  </si>
  <si>
    <t xml:space="preserve">5 — Plus PSN-Karten zu 45,49 €</t>
  </si>
  <si>
    <t xml:space="preserve">Volle Karten günstig kaufen, Rest normal zahlen.</t>
  </si>
  <si>
    <t xml:space="preserve">6 — Plus PSN-Karten, aufgerundet</t>
  </si>
  <si>
    <t xml:space="preserve">Höhere Barkosten, Restguthaben bleibt übrig.</t>
  </si>
  <si>
    <t xml:space="preserve">7 — Plus gesicherte Sparhebel</t>
  </si>
  <si>
    <t xml:space="preserve">Alle Hebel, die auf "Ja" stehen.</t>
  </si>
  <si>
    <t xml:space="preserve">8 — Best Case, alle Hebel greifen</t>
  </si>
  <si>
    <t xml:space="preserve">Optimistisch — siehe Warnung auf dem Blatt "Sparhebel".</t>
  </si>
  <si>
    <t xml:space="preserve">Ergebnis</t>
  </si>
  <si>
    <t xml:space="preserve">Realistisch günstigste Variante</t>
  </si>
  <si>
    <t xml:space="preserve">Ohne das optimistische Best-Case-Szenario 8.</t>
  </si>
  <si>
    <t xml:space="preserve">Ersparnis gegenüber Listenpreis</t>
  </si>
  <si>
    <t xml:space="preserve">Ersparnis in Prozent</t>
  </si>
  <si>
    <t xml:space="preserve">Best Case inklusive Szenario 8</t>
  </si>
  <si>
    <t xml:space="preserve">Nur erreichbar, wenn sich die Hebel nicht gegenseitig ausschließen.</t>
  </si>
  <si>
    <t xml:space="preserve">Reihenfolge fürs Vorgehen: 1. Klären, ob die Konsole überhaupt mit PSN-Guthaben bezahlbar ist. 2. Preis der Konsole beim günstigsten seriösen Händler gegen das PS-Direct-Paket aus Rabatt und Eintauschbonus rechnen. 3. Vor dem Eintausch das Disc-Laufwerk sichern. 4. Guthabenkarten erst kurz vor dem Kauf und nur bei einer laufenden Aktion holen.</t>
  </si>
</sst>
</file>

<file path=xl/styles.xml><?xml version="1.0" encoding="utf-8"?>
<styleSheet xmlns="http://schemas.openxmlformats.org/spreadsheetml/2006/main">
  <numFmts count="5">
    <numFmt numFmtId="164" formatCode="General"/>
    <numFmt numFmtId="165" formatCode="#,##0.00&quot; €&quot;"/>
    <numFmt numFmtId="166" formatCode="0.0%"/>
    <numFmt numFmtId="167" formatCode="0.00"/>
    <numFmt numFmtId="168" formatCode="0"/>
  </numFmts>
  <fonts count="15">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9"/>
      <color rgb="FF7F7F7F"/>
      <name val="Arial"/>
      <family val="0"/>
      <charset val="1"/>
    </font>
    <font>
      <b val="true"/>
      <sz val="12"/>
      <color rgb="FFFFFFFF"/>
      <name val="Arial"/>
      <family val="0"/>
      <charset val="1"/>
    </font>
    <font>
      <b val="true"/>
      <sz val="10"/>
      <color rgb="FFFFFFFF"/>
      <name val="Arial"/>
      <family val="0"/>
      <charset val="1"/>
    </font>
    <font>
      <sz val="11"/>
      <name val="Arial"/>
      <family val="0"/>
      <charset val="1"/>
    </font>
    <font>
      <sz val="11"/>
      <color rgb="FF0000FF"/>
      <name val="Arial"/>
      <family val="0"/>
      <charset val="1"/>
    </font>
    <font>
      <i val="true"/>
      <sz val="9"/>
      <color rgb="FF595959"/>
      <name val="Arial"/>
      <family val="0"/>
      <charset val="1"/>
    </font>
    <font>
      <b val="true"/>
      <sz val="11"/>
      <name val="Arial"/>
      <family val="0"/>
      <charset val="1"/>
    </font>
    <font>
      <b val="true"/>
      <sz val="11"/>
      <color rgb="FF008000"/>
      <name val="Arial"/>
      <family val="0"/>
      <charset val="1"/>
    </font>
    <font>
      <sz val="11"/>
      <color rgb="FF008000"/>
      <name val="Arial"/>
      <family val="0"/>
      <charset val="1"/>
    </font>
    <font>
      <b val="true"/>
      <sz val="11"/>
      <color rgb="FF1F3864"/>
      <name val="Arial"/>
      <family val="0"/>
      <charset val="1"/>
    </font>
  </fonts>
  <fills count="8">
    <fill>
      <patternFill patternType="none"/>
    </fill>
    <fill>
      <patternFill patternType="gray125"/>
    </fill>
    <fill>
      <patternFill patternType="solid">
        <fgColor rgb="FF1F3864"/>
        <bgColor rgb="FF333399"/>
      </patternFill>
    </fill>
    <fill>
      <patternFill patternType="solid">
        <fgColor rgb="FF4472C4"/>
        <bgColor rgb="FF0066CC"/>
      </patternFill>
    </fill>
    <fill>
      <patternFill patternType="solid">
        <fgColor rgb="FFFFFF00"/>
        <bgColor rgb="FFFFFF00"/>
      </patternFill>
    </fill>
    <fill>
      <patternFill patternType="solid">
        <fgColor rgb="FFE2EFDA"/>
        <bgColor rgb="FFDCE6F1"/>
      </patternFill>
    </fill>
    <fill>
      <patternFill patternType="solid">
        <fgColor rgb="FFFCE4D6"/>
        <bgColor rgb="FFE2EFDA"/>
      </patternFill>
    </fill>
    <fill>
      <patternFill patternType="solid">
        <fgColor rgb="FFDCE6F1"/>
        <bgColor rgb="FFE2EFDA"/>
      </patternFill>
    </fill>
  </fills>
  <borders count="4">
    <border diagonalUp="false" diagonalDown="false">
      <left/>
      <right/>
      <top/>
      <bottom/>
      <diagonal/>
    </border>
    <border diagonalUp="false" diagonalDown="false">
      <left/>
      <right/>
      <top style="thin">
        <color rgb="FF404040"/>
      </top>
      <bottom/>
      <diagonal/>
    </border>
    <border diagonalUp="false" diagonalDown="false">
      <left/>
      <right/>
      <top style="thin">
        <color rgb="FF404040"/>
      </top>
      <bottom style="double">
        <color rgb="FF404040"/>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4"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4" fontId="11" fillId="5" borderId="2" xfId="0" applyFont="true" applyBorder="true" applyAlignment="false" applyProtection="false">
      <alignment horizontal="general" vertical="bottom" textRotation="0" wrapText="false" indent="0" shrinkToFit="false"/>
      <protection locked="true" hidden="false"/>
    </xf>
    <xf numFmtId="165" fontId="11" fillId="5" borderId="2"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11" fillId="5" borderId="0" xfId="0" applyFont="true" applyBorder="false" applyAlignment="false" applyProtection="false">
      <alignment horizontal="general" vertical="bottom" textRotation="0" wrapText="false" indent="0" shrinkToFit="false"/>
      <protection locked="true" hidden="false"/>
    </xf>
    <xf numFmtId="165" fontId="12" fillId="5"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4" fontId="10" fillId="6"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5" fontId="11" fillId="5"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center" vertical="bottom" textRotation="0" wrapText="false" indent="0" shrinkToFit="false"/>
      <protection locked="true" hidden="false"/>
    </xf>
    <xf numFmtId="164" fontId="9" fillId="0" borderId="3" xfId="0" applyFont="true" applyBorder="true" applyAlignment="true" applyProtection="false">
      <alignment horizontal="center" vertical="bottom" textRotation="0" wrapText="false" indent="0" shrinkToFit="false"/>
      <protection locked="true" hidden="false"/>
    </xf>
    <xf numFmtId="165" fontId="8" fillId="0" borderId="3" xfId="0" applyFont="true" applyBorder="true" applyAlignment="false" applyProtection="false">
      <alignment horizontal="general" vertical="bottom" textRotation="0" wrapText="false" indent="0" shrinkToFit="false"/>
      <protection locked="true" hidden="false"/>
    </xf>
    <xf numFmtId="164" fontId="9" fillId="7" borderId="3" xfId="0" applyFont="true" applyBorder="true" applyAlignment="true" applyProtection="false">
      <alignment horizontal="center" vertical="bottom" textRotation="0" wrapText="false" indent="0" shrinkToFit="false"/>
      <protection locked="true" hidden="false"/>
    </xf>
    <xf numFmtId="165" fontId="8" fillId="7" borderId="3"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center" vertical="bottom" textRotation="0" wrapText="true" indent="0" shrinkToFit="false"/>
      <protection locked="true" hidden="false"/>
    </xf>
    <xf numFmtId="165" fontId="9" fillId="0" borderId="3" xfId="0" applyFont="true" applyBorder="true" applyAlignment="false" applyProtection="false">
      <alignment horizontal="general" vertical="bottom" textRotation="0" wrapText="false" indent="0" shrinkToFit="false"/>
      <protection locked="true" hidden="false"/>
    </xf>
    <xf numFmtId="166" fontId="8" fillId="0" borderId="3" xfId="0" applyFont="true" applyBorder="true" applyAlignment="false" applyProtection="false">
      <alignment horizontal="general" vertical="bottom" textRotation="0" wrapText="false" indent="0" shrinkToFit="false"/>
      <protection locked="true" hidden="false"/>
    </xf>
    <xf numFmtId="165" fontId="9" fillId="7" borderId="3" xfId="0" applyFont="true" applyBorder="true" applyAlignment="false" applyProtection="false">
      <alignment horizontal="general" vertical="bottom" textRotation="0" wrapText="false" indent="0" shrinkToFit="false"/>
      <protection locked="true" hidden="false"/>
    </xf>
    <xf numFmtId="166" fontId="8" fillId="7" borderId="3"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6" fontId="9" fillId="4"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left" vertical="center" textRotation="0" wrapText="fals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8" fillId="0" borderId="3" xfId="0" applyFont="true" applyBorder="true" applyAlignment="true" applyProtection="false">
      <alignment horizontal="general" vertical="center" textRotation="0" wrapText="true" indent="0" shrinkToFit="false"/>
      <protection locked="true" hidden="false"/>
    </xf>
    <xf numFmtId="164" fontId="9" fillId="4" borderId="3" xfId="0" applyFont="true" applyBorder="true" applyAlignment="true" applyProtection="false">
      <alignment horizontal="center" vertical="bottom" textRotation="0" wrapText="false" indent="0" shrinkToFit="false"/>
      <protection locked="true" hidden="false"/>
    </xf>
    <xf numFmtId="164" fontId="10" fillId="0" borderId="3" xfId="0" applyFont="true" applyBorder="true" applyAlignment="true" applyProtection="false">
      <alignment horizontal="general" vertical="center" textRotation="0" wrapText="true" indent="0" shrinkToFit="false"/>
      <protection locked="true" hidden="false"/>
    </xf>
    <xf numFmtId="165" fontId="9" fillId="4" borderId="3" xfId="0" applyFont="true" applyBorder="true" applyAlignment="false" applyProtection="false">
      <alignment horizontal="general" vertical="bottom" textRotation="0" wrapText="false" indent="0" shrinkToFit="false"/>
      <protection locked="true" hidden="false"/>
    </xf>
    <xf numFmtId="165" fontId="11" fillId="5" borderId="0" xfId="0" applyFont="true" applyBorder="false" applyAlignment="false" applyProtection="false">
      <alignment horizontal="general" vertical="bottom" textRotation="0" wrapText="false" indent="0" shrinkToFit="false"/>
      <protection locked="true" hidden="false"/>
    </xf>
    <xf numFmtId="165" fontId="11" fillId="4" borderId="0" xfId="0" applyFont="true" applyBorder="false" applyAlignment="false" applyProtection="false">
      <alignment horizontal="general" vertical="bottom" textRotation="0" wrapText="false" indent="0" shrinkToFit="false"/>
      <protection locked="true" hidden="false"/>
    </xf>
    <xf numFmtId="164" fontId="8" fillId="0" borderId="3" xfId="0" applyFont="true" applyBorder="true" applyAlignment="false" applyProtection="false">
      <alignment horizontal="general" vertical="bottom" textRotation="0" wrapText="false" indent="0" shrinkToFit="false"/>
      <protection locked="true" hidden="false"/>
    </xf>
    <xf numFmtId="165" fontId="13" fillId="0" borderId="3" xfId="0" applyFont="true" applyBorder="true" applyAlignment="false" applyProtection="false">
      <alignment horizontal="general" vertical="bottom" textRotation="0" wrapText="false" indent="0" shrinkToFit="false"/>
      <protection locked="true" hidden="false"/>
    </xf>
    <xf numFmtId="164" fontId="11" fillId="5" borderId="3" xfId="0" applyFont="true" applyBorder="true" applyAlignment="false" applyProtection="false">
      <alignment horizontal="general" vertical="bottom" textRotation="0" wrapText="false" indent="0" shrinkToFit="false"/>
      <protection locked="true" hidden="false"/>
    </xf>
    <xf numFmtId="165" fontId="12" fillId="5" borderId="3" xfId="0" applyFont="true" applyBorder="true" applyAlignment="false" applyProtection="false">
      <alignment horizontal="general" vertical="bottom" textRotation="0" wrapText="false" indent="0" shrinkToFit="false"/>
      <protection locked="true" hidden="false"/>
    </xf>
    <xf numFmtId="165" fontId="11" fillId="5" borderId="3" xfId="0" applyFont="true" applyBorder="true" applyAlignment="false" applyProtection="false">
      <alignment horizontal="general" vertical="bottom" textRotation="0" wrapText="false" indent="0" shrinkToFit="false"/>
      <protection locked="true" hidden="false"/>
    </xf>
    <xf numFmtId="164" fontId="10" fillId="5" borderId="3"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false" applyAlignment="true" applyProtection="false">
      <alignment horizontal="general" vertical="center" textRotation="0" wrapText="true" indent="0" shrinkToFit="false"/>
      <protection locked="true" hidden="false"/>
    </xf>
    <xf numFmtId="165" fontId="8" fillId="4"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CE4D6"/>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4472C4"/>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2" min="2" style="0" width="15"/>
    <col collapsed="false" customWidth="true" hidden="false" outlineLevel="0" max="3" min="3" style="0" width="74"/>
  </cols>
  <sheetData>
    <row r="1" customFormat="false" ht="21.75" hidden="false" customHeight="true" outlineLevel="0" collapsed="false">
      <c r="A1" s="1" t="s">
        <v>0</v>
      </c>
    </row>
    <row r="2" customFormat="false" ht="15" hidden="false" customHeight="false" outlineLevel="0" collapsed="false">
      <c r="A2" s="2" t="s">
        <v>1</v>
      </c>
    </row>
    <row r="4" customFormat="false" ht="19.5" hidden="false" customHeight="true" outlineLevel="0" collapsed="false">
      <c r="A4" s="3" t="s">
        <v>2</v>
      </c>
      <c r="B4" s="4"/>
      <c r="C4" s="4"/>
    </row>
    <row r="5" customFormat="false" ht="15" hidden="false" customHeight="false" outlineLevel="0" collapsed="false">
      <c r="A5" s="5" t="s">
        <v>3</v>
      </c>
      <c r="B5" s="5" t="s">
        <v>4</v>
      </c>
      <c r="C5" s="5" t="s">
        <v>5</v>
      </c>
    </row>
    <row r="6" customFormat="false" ht="15" hidden="false" customHeight="false" outlineLevel="0" collapsed="false">
      <c r="A6" s="6" t="s">
        <v>6</v>
      </c>
      <c r="B6" s="7" t="n">
        <v>899.99</v>
      </c>
      <c r="C6" s="8" t="s">
        <v>7</v>
      </c>
    </row>
    <row r="7" customFormat="false" ht="15" hidden="false" customHeight="false" outlineLevel="0" collapsed="false">
      <c r="A7" s="6" t="s">
        <v>8</v>
      </c>
      <c r="B7" s="7" t="n">
        <v>45</v>
      </c>
      <c r="C7" s="8" t="s">
        <v>9</v>
      </c>
    </row>
    <row r="8" customFormat="false" ht="15" hidden="false" customHeight="false" outlineLevel="0" collapsed="false">
      <c r="A8" s="6" t="s">
        <v>10</v>
      </c>
      <c r="B8" s="7" t="n">
        <v>372</v>
      </c>
      <c r="C8" s="8" t="s">
        <v>11</v>
      </c>
    </row>
    <row r="9" customFormat="false" ht="15" hidden="false" customHeight="false" outlineLevel="0" collapsed="false">
      <c r="A9" s="6" t="s">
        <v>12</v>
      </c>
      <c r="B9" s="7" t="n">
        <v>50</v>
      </c>
      <c r="C9" s="8" t="s">
        <v>13</v>
      </c>
    </row>
    <row r="10" customFormat="false" ht="15" hidden="false" customHeight="false" outlineLevel="0" collapsed="false">
      <c r="A10" s="6" t="s">
        <v>14</v>
      </c>
      <c r="B10" s="7" t="n">
        <v>50</v>
      </c>
      <c r="C10" s="8" t="s">
        <v>15</v>
      </c>
    </row>
    <row r="11" customFormat="false" ht="15" hidden="false" customHeight="false" outlineLevel="0" collapsed="false">
      <c r="A11" s="6" t="s">
        <v>16</v>
      </c>
      <c r="B11" s="7" t="n">
        <v>45.49</v>
      </c>
      <c r="C11" s="8" t="s">
        <v>17</v>
      </c>
    </row>
    <row r="13" customFormat="false" ht="19.5" hidden="false" customHeight="true" outlineLevel="0" collapsed="false">
      <c r="A13" s="3" t="s">
        <v>18</v>
      </c>
      <c r="B13" s="4"/>
      <c r="C13" s="4"/>
    </row>
    <row r="14" customFormat="false" ht="15" hidden="false" customHeight="false" outlineLevel="0" collapsed="false">
      <c r="A14" s="6" t="s">
        <v>6</v>
      </c>
      <c r="B14" s="9" t="n">
        <f aca="false">B6</f>
        <v>899.99</v>
      </c>
    </row>
    <row r="15" customFormat="false" ht="15" hidden="false" customHeight="false" outlineLevel="0" collapsed="false">
      <c r="A15" s="6" t="s">
        <v>19</v>
      </c>
      <c r="B15" s="9" t="n">
        <f aca="false">-B7</f>
        <v>-45</v>
      </c>
    </row>
    <row r="16" customFormat="false" ht="15" hidden="false" customHeight="false" outlineLevel="0" collapsed="false">
      <c r="A16" s="10" t="s">
        <v>20</v>
      </c>
      <c r="B16" s="11" t="n">
        <f aca="false">SUM(B14:B15)</f>
        <v>854.99</v>
      </c>
      <c r="C16" s="8" t="s">
        <v>21</v>
      </c>
    </row>
    <row r="17" customFormat="false" ht="15" hidden="false" customHeight="false" outlineLevel="0" collapsed="false">
      <c r="A17" s="6" t="s">
        <v>22</v>
      </c>
      <c r="B17" s="9" t="n">
        <f aca="false">-B8</f>
        <v>-372</v>
      </c>
    </row>
    <row r="18" customFormat="false" ht="15" hidden="false" customHeight="false" outlineLevel="0" collapsed="false">
      <c r="A18" s="10" t="s">
        <v>23</v>
      </c>
      <c r="B18" s="11" t="n">
        <f aca="false">SUM(B16:B17)</f>
        <v>482.99</v>
      </c>
      <c r="C18" s="8" t="s">
        <v>24</v>
      </c>
    </row>
    <row r="19" customFormat="false" ht="15" hidden="false" customHeight="false" outlineLevel="0" collapsed="false">
      <c r="A19" s="6" t="s">
        <v>25</v>
      </c>
      <c r="B19" s="9" t="n">
        <f aca="false">-B9</f>
        <v>-50</v>
      </c>
    </row>
    <row r="20" customFormat="false" ht="15" hidden="false" customHeight="false" outlineLevel="0" collapsed="false">
      <c r="A20" s="12" t="s">
        <v>26</v>
      </c>
      <c r="B20" s="13" t="n">
        <f aca="false">SUM(B18:B19)</f>
        <v>432.99</v>
      </c>
      <c r="C20" s="8" t="s">
        <v>27</v>
      </c>
    </row>
    <row r="22" customFormat="false" ht="19.5" hidden="false" customHeight="true" outlineLevel="0" collapsed="false">
      <c r="A22" s="3" t="s">
        <v>28</v>
      </c>
      <c r="B22" s="4"/>
      <c r="C22" s="4"/>
    </row>
    <row r="23" customFormat="false" ht="15" hidden="false" customHeight="false" outlineLevel="0" collapsed="false">
      <c r="A23" s="14" t="s">
        <v>29</v>
      </c>
    </row>
    <row r="25" customFormat="false" ht="15" hidden="false" customHeight="false" outlineLevel="0" collapsed="false">
      <c r="A25" s="6" t="s">
        <v>30</v>
      </c>
      <c r="B25" s="9" t="n">
        <f aca="false">B10-B11</f>
        <v>4.51</v>
      </c>
      <c r="C25" s="8" t="s">
        <v>31</v>
      </c>
    </row>
    <row r="26" customFormat="false" ht="15" hidden="false" customHeight="false" outlineLevel="0" collapsed="false">
      <c r="A26" s="6" t="s">
        <v>32</v>
      </c>
      <c r="B26" s="15" t="n">
        <f aca="false">(B10-B11)/B10</f>
        <v>0.0902</v>
      </c>
      <c r="C26" s="8" t="s">
        <v>33</v>
      </c>
    </row>
    <row r="27" customFormat="false" ht="15" hidden="false" customHeight="false" outlineLevel="0" collapsed="false">
      <c r="A27" s="16" t="s">
        <v>34</v>
      </c>
      <c r="B27" s="17" t="n">
        <f aca="false">'PSN-Karten'!B18</f>
        <v>396.91</v>
      </c>
      <c r="C27" s="8" t="s">
        <v>35</v>
      </c>
    </row>
    <row r="28" customFormat="false" ht="15" hidden="false" customHeight="false" outlineLevel="0" collapsed="false">
      <c r="A28" s="6" t="s">
        <v>36</v>
      </c>
      <c r="B28" s="18" t="n">
        <f aca="false">'PSN-Karten'!B25</f>
        <v>409.41</v>
      </c>
      <c r="C28" s="8" t="s">
        <v>37</v>
      </c>
    </row>
    <row r="29" customFormat="false" ht="15" hidden="false" customHeight="false" outlineLevel="0" collapsed="false">
      <c r="A29" s="6" t="s">
        <v>38</v>
      </c>
      <c r="B29" s="18" t="n">
        <f aca="false">'PSN-Karten'!B24</f>
        <v>17.01</v>
      </c>
      <c r="C29" s="8" t="s">
        <v>39</v>
      </c>
    </row>
    <row r="31" customFormat="false" ht="19.5" hidden="false" customHeight="true" outlineLevel="0" collapsed="false">
      <c r="A31" s="3" t="s">
        <v>40</v>
      </c>
      <c r="B31" s="4"/>
      <c r="C31" s="4"/>
    </row>
    <row r="32" customFormat="false" ht="15" hidden="false" customHeight="false" outlineLevel="0" collapsed="false">
      <c r="A32" s="6" t="s">
        <v>41</v>
      </c>
      <c r="B32" s="9" t="n">
        <f aca="false">B8+B9</f>
        <v>422</v>
      </c>
      <c r="C32" s="8" t="s">
        <v>42</v>
      </c>
    </row>
    <row r="33" customFormat="false" ht="15" hidden="false" customHeight="false" outlineLevel="0" collapsed="false">
      <c r="A33" s="6" t="s">
        <v>43</v>
      </c>
      <c r="B33" s="9" t="n">
        <f aca="false">B8+B9+0.01</f>
        <v>422.01</v>
      </c>
      <c r="C33" s="8" t="s">
        <v>44</v>
      </c>
    </row>
    <row r="34" customFormat="false" ht="15" hidden="false" customHeight="false" outlineLevel="0" collapsed="false">
      <c r="A34" s="6" t="s">
        <v>45</v>
      </c>
      <c r="B34" s="9" t="n">
        <f aca="false">B9/B10*B11</f>
        <v>45.49</v>
      </c>
      <c r="C34" s="8" t="s">
        <v>46</v>
      </c>
    </row>
    <row r="35" customFormat="false" ht="15" hidden="false" customHeight="false" outlineLevel="0" collapsed="false">
      <c r="A35" s="6" t="s">
        <v>47</v>
      </c>
      <c r="B35" s="9" t="n">
        <f aca="false">B8+B9/B10*B11</f>
        <v>417.49</v>
      </c>
      <c r="C35" s="8" t="s">
        <v>48</v>
      </c>
    </row>
    <row r="37" customFormat="false" ht="19.5" hidden="false" customHeight="true" outlineLevel="0" collapsed="false">
      <c r="A37" s="3" t="s">
        <v>49</v>
      </c>
      <c r="B37" s="4"/>
      <c r="C37" s="4"/>
    </row>
    <row r="38" customFormat="false" ht="30" hidden="false" customHeight="true" outlineLevel="0" collapsed="false">
      <c r="A38" s="19" t="s">
        <v>50</v>
      </c>
      <c r="B38" s="19"/>
      <c r="C38" s="19"/>
    </row>
    <row r="39" customFormat="false" ht="30" hidden="false" customHeight="true" outlineLevel="0" collapsed="false">
      <c r="A39" s="20" t="s">
        <v>51</v>
      </c>
      <c r="B39" s="20"/>
      <c r="C39" s="20"/>
    </row>
    <row r="40" customFormat="false" ht="30" hidden="false" customHeight="true" outlineLevel="0" collapsed="false">
      <c r="A40" s="20" t="s">
        <v>52</v>
      </c>
      <c r="B40" s="20"/>
      <c r="C40" s="20"/>
    </row>
    <row r="41" customFormat="false" ht="30" hidden="false" customHeight="true" outlineLevel="0" collapsed="false">
      <c r="A41" s="20" t="s">
        <v>53</v>
      </c>
      <c r="B41" s="20"/>
      <c r="C41" s="20"/>
    </row>
    <row r="42" customFormat="false" ht="30" hidden="false" customHeight="true" outlineLevel="0" collapsed="false">
      <c r="A42" s="20" t="s">
        <v>54</v>
      </c>
      <c r="B42" s="20"/>
      <c r="C42" s="20"/>
    </row>
  </sheetData>
  <mergeCells count="5">
    <mergeCell ref="A38:C38"/>
    <mergeCell ref="A39:C39"/>
    <mergeCell ref="A40:C40"/>
    <mergeCell ref="A41:C41"/>
    <mergeCell ref="A42:C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4" min="2" style="0" width="15"/>
    <col collapsed="false" customWidth="true" hidden="false" outlineLevel="0" max="5" min="5" style="0" width="22"/>
    <col collapsed="false" customWidth="true" hidden="false" outlineLevel="0" max="6" min="6" style="0" width="18"/>
    <col collapsed="false" customWidth="true" hidden="false" outlineLevel="0" max="7" min="7" style="0" width="46"/>
  </cols>
  <sheetData>
    <row r="1" customFormat="false" ht="21.75" hidden="false" customHeight="true" outlineLevel="0" collapsed="false">
      <c r="A1" s="1" t="s">
        <v>55</v>
      </c>
    </row>
    <row r="2" customFormat="false" ht="15" hidden="false" customHeight="false" outlineLevel="0" collapsed="false">
      <c r="A2" s="2" t="s">
        <v>56</v>
      </c>
    </row>
    <row r="4" customFormat="false" ht="19.5" hidden="false" customHeight="true" outlineLevel="0" collapsed="false">
      <c r="A4" s="3" t="s">
        <v>57</v>
      </c>
      <c r="B4" s="4"/>
      <c r="C4" s="4"/>
    </row>
    <row r="5" customFormat="false" ht="15" hidden="false" customHeight="false" outlineLevel="0" collapsed="false">
      <c r="A5" s="6" t="s">
        <v>58</v>
      </c>
      <c r="B5" s="18" t="n">
        <f aca="false">Kalkulation!B20</f>
        <v>432.99</v>
      </c>
    </row>
    <row r="6" customFormat="false" ht="15" hidden="false" customHeight="false" outlineLevel="0" collapsed="false">
      <c r="A6" s="6" t="s">
        <v>59</v>
      </c>
      <c r="B6" s="18" t="n">
        <f aca="false">Kalkulation!B10</f>
        <v>50</v>
      </c>
    </row>
    <row r="7" customFormat="false" ht="15" hidden="false" customHeight="false" outlineLevel="0" collapsed="false">
      <c r="A7" s="6" t="s">
        <v>60</v>
      </c>
      <c r="B7" s="18" t="n">
        <f aca="false">Kalkulation!B11</f>
        <v>45.49</v>
      </c>
    </row>
    <row r="8" customFormat="false" ht="15" hidden="false" customHeight="false" outlineLevel="0" collapsed="false">
      <c r="A8" s="6" t="s">
        <v>61</v>
      </c>
      <c r="B8" s="9" t="n">
        <f aca="false">B6-B7</f>
        <v>4.51</v>
      </c>
    </row>
    <row r="9" customFormat="false" ht="15" hidden="false" customHeight="false" outlineLevel="0" collapsed="false">
      <c r="A9" s="6" t="s">
        <v>32</v>
      </c>
      <c r="B9" s="15" t="n">
        <f aca="false">B8/B6</f>
        <v>0.0902</v>
      </c>
    </row>
    <row r="11" customFormat="false" ht="19.5" hidden="false" customHeight="true" outlineLevel="0" collapsed="false">
      <c r="A11" s="3" t="s">
        <v>62</v>
      </c>
      <c r="B11" s="4"/>
      <c r="C11" s="4"/>
    </row>
    <row r="12" customFormat="false" ht="15" hidden="false" customHeight="false" outlineLevel="0" collapsed="false">
      <c r="A12" s="6" t="s">
        <v>63</v>
      </c>
      <c r="B12" s="21" t="n">
        <f aca="false">B5/B6</f>
        <v>8.6598</v>
      </c>
      <c r="C12" s="8" t="s">
        <v>64</v>
      </c>
    </row>
    <row r="13" customFormat="false" ht="15" hidden="false" customHeight="false" outlineLevel="0" collapsed="false">
      <c r="A13" s="6" t="s">
        <v>65</v>
      </c>
      <c r="B13" s="22" t="n">
        <f aca="false">ROUNDDOWN(B5/B6,0)</f>
        <v>8</v>
      </c>
      <c r="C13" s="8" t="s">
        <v>66</v>
      </c>
    </row>
    <row r="14" customFormat="false" ht="15" hidden="false" customHeight="false" outlineLevel="0" collapsed="false">
      <c r="A14" s="6" t="s">
        <v>67</v>
      </c>
      <c r="B14" s="9" t="n">
        <f aca="false">B13*B6</f>
        <v>400</v>
      </c>
    </row>
    <row r="15" customFormat="false" ht="15" hidden="false" customHeight="false" outlineLevel="0" collapsed="false">
      <c r="A15" s="6" t="s">
        <v>68</v>
      </c>
      <c r="B15" s="9" t="n">
        <f aca="false">B13*B7</f>
        <v>363.92</v>
      </c>
    </row>
    <row r="16" customFormat="false" ht="15" hidden="false" customHeight="false" outlineLevel="0" collapsed="false">
      <c r="A16" s="6" t="s">
        <v>69</v>
      </c>
      <c r="B16" s="9" t="n">
        <f aca="false">B5-B14</f>
        <v>32.99</v>
      </c>
      <c r="C16" s="8" t="s">
        <v>70</v>
      </c>
    </row>
    <row r="17" customFormat="false" ht="15" hidden="false" customHeight="false" outlineLevel="0" collapsed="false">
      <c r="A17" s="6" t="s">
        <v>71</v>
      </c>
      <c r="B17" s="9" t="n">
        <f aca="false">0</f>
        <v>0</v>
      </c>
      <c r="C17" s="8" t="s">
        <v>72</v>
      </c>
    </row>
    <row r="18" customFormat="false" ht="15" hidden="false" customHeight="false" outlineLevel="0" collapsed="false">
      <c r="A18" s="16" t="s">
        <v>73</v>
      </c>
      <c r="B18" s="23" t="n">
        <f aca="false">B15+B16</f>
        <v>396.91</v>
      </c>
      <c r="C18" s="8" t="s">
        <v>74</v>
      </c>
    </row>
    <row r="19" customFormat="false" ht="15" hidden="false" customHeight="false" outlineLevel="0" collapsed="false">
      <c r="A19" s="6" t="s">
        <v>75</v>
      </c>
      <c r="B19" s="9" t="n">
        <f aca="false">B5-B18</f>
        <v>36.08</v>
      </c>
    </row>
    <row r="21" customFormat="false" ht="19.5" hidden="false" customHeight="true" outlineLevel="0" collapsed="false">
      <c r="A21" s="3" t="s">
        <v>76</v>
      </c>
      <c r="B21" s="4"/>
      <c r="C21" s="4"/>
    </row>
    <row r="22" customFormat="false" ht="15" hidden="false" customHeight="false" outlineLevel="0" collapsed="false">
      <c r="A22" s="6" t="s">
        <v>77</v>
      </c>
      <c r="B22" s="22" t="n">
        <f aca="false">ROUNDUP(B5/B6,0)</f>
        <v>9</v>
      </c>
    </row>
    <row r="23" customFormat="false" ht="15" hidden="false" customHeight="false" outlineLevel="0" collapsed="false">
      <c r="A23" s="6" t="s">
        <v>67</v>
      </c>
      <c r="B23" s="9" t="n">
        <f aca="false">B22*B6</f>
        <v>450</v>
      </c>
    </row>
    <row r="24" customFormat="false" ht="15" hidden="false" customHeight="false" outlineLevel="0" collapsed="false">
      <c r="A24" s="6" t="s">
        <v>78</v>
      </c>
      <c r="B24" s="9" t="n">
        <f aca="false">B23-B5</f>
        <v>17.01</v>
      </c>
      <c r="C24" s="8" t="s">
        <v>79</v>
      </c>
    </row>
    <row r="25" customFormat="false" ht="15" hidden="false" customHeight="false" outlineLevel="0" collapsed="false">
      <c r="A25" s="24" t="s">
        <v>80</v>
      </c>
      <c r="B25" s="11" t="n">
        <f aca="false">B22*B7</f>
        <v>409.41</v>
      </c>
      <c r="C25" s="8" t="s">
        <v>81</v>
      </c>
    </row>
    <row r="26" customFormat="false" ht="15" hidden="false" customHeight="false" outlineLevel="0" collapsed="false">
      <c r="A26" s="6" t="s">
        <v>75</v>
      </c>
      <c r="B26" s="9" t="n">
        <f aca="false">B5-B25</f>
        <v>23.58</v>
      </c>
    </row>
    <row r="27" customFormat="false" ht="15" hidden="false" customHeight="false" outlineLevel="0" collapsed="false">
      <c r="A27" s="6" t="s">
        <v>82</v>
      </c>
      <c r="B27" s="9" t="n">
        <f aca="false">B25-B24</f>
        <v>392.4</v>
      </c>
      <c r="C27" s="8" t="s">
        <v>83</v>
      </c>
    </row>
    <row r="29" customFormat="false" ht="19.5" hidden="false" customHeight="true" outlineLevel="0" collapsed="false">
      <c r="A29" s="3" t="s">
        <v>84</v>
      </c>
      <c r="B29" s="4"/>
      <c r="C29" s="4"/>
      <c r="D29" s="4"/>
      <c r="E29" s="4"/>
    </row>
    <row r="30" customFormat="false" ht="15" hidden="false" customHeight="false" outlineLevel="0" collapsed="false">
      <c r="A30" s="25" t="s">
        <v>85</v>
      </c>
      <c r="B30" s="25" t="s">
        <v>86</v>
      </c>
      <c r="C30" s="25" t="s">
        <v>87</v>
      </c>
      <c r="D30" s="25" t="s">
        <v>88</v>
      </c>
      <c r="E30" s="25" t="s">
        <v>89</v>
      </c>
    </row>
    <row r="31" customFormat="false" ht="15" hidden="false" customHeight="false" outlineLevel="0" collapsed="false">
      <c r="A31" s="26" t="n">
        <v>1</v>
      </c>
      <c r="B31" s="27" t="n">
        <f aca="false">A31*$B$6</f>
        <v>50</v>
      </c>
      <c r="C31" s="27" t="n">
        <f aca="false">A31*$B$7</f>
        <v>45.49</v>
      </c>
      <c r="D31" s="27" t="n">
        <f aca="false">A31*($B$6-$B$7)</f>
        <v>4.51</v>
      </c>
      <c r="E31" s="27" t="n">
        <f aca="false">MAX(0,$B$5-B31)</f>
        <v>382.99</v>
      </c>
    </row>
    <row r="32" customFormat="false" ht="15" hidden="false" customHeight="false" outlineLevel="0" collapsed="false">
      <c r="A32" s="28" t="n">
        <v>2</v>
      </c>
      <c r="B32" s="29" t="n">
        <f aca="false">A32*$B$6</f>
        <v>100</v>
      </c>
      <c r="C32" s="29" t="n">
        <f aca="false">A32*$B$7</f>
        <v>90.98</v>
      </c>
      <c r="D32" s="29" t="n">
        <f aca="false">A32*($B$6-$B$7)</f>
        <v>9.02</v>
      </c>
      <c r="E32" s="29" t="n">
        <f aca="false">MAX(0,$B$5-B32)</f>
        <v>332.99</v>
      </c>
    </row>
    <row r="33" customFormat="false" ht="15" hidden="false" customHeight="false" outlineLevel="0" collapsed="false">
      <c r="A33" s="26" t="n">
        <v>3</v>
      </c>
      <c r="B33" s="27" t="n">
        <f aca="false">A33*$B$6</f>
        <v>150</v>
      </c>
      <c r="C33" s="27" t="n">
        <f aca="false">A33*$B$7</f>
        <v>136.47</v>
      </c>
      <c r="D33" s="27" t="n">
        <f aca="false">A33*($B$6-$B$7)</f>
        <v>13.53</v>
      </c>
      <c r="E33" s="27" t="n">
        <f aca="false">MAX(0,$B$5-B33)</f>
        <v>282.99</v>
      </c>
    </row>
    <row r="34" customFormat="false" ht="15" hidden="false" customHeight="false" outlineLevel="0" collapsed="false">
      <c r="A34" s="28" t="n">
        <v>4</v>
      </c>
      <c r="B34" s="29" t="n">
        <f aca="false">A34*$B$6</f>
        <v>200</v>
      </c>
      <c r="C34" s="29" t="n">
        <f aca="false">A34*$B$7</f>
        <v>181.96</v>
      </c>
      <c r="D34" s="29" t="n">
        <f aca="false">A34*($B$6-$B$7)</f>
        <v>18.04</v>
      </c>
      <c r="E34" s="29" t="n">
        <f aca="false">MAX(0,$B$5-B34)</f>
        <v>232.99</v>
      </c>
    </row>
    <row r="35" customFormat="false" ht="15" hidden="false" customHeight="false" outlineLevel="0" collapsed="false">
      <c r="A35" s="26" t="n">
        <v>5</v>
      </c>
      <c r="B35" s="27" t="n">
        <f aca="false">A35*$B$6</f>
        <v>250</v>
      </c>
      <c r="C35" s="27" t="n">
        <f aca="false">A35*$B$7</f>
        <v>227.45</v>
      </c>
      <c r="D35" s="27" t="n">
        <f aca="false">A35*($B$6-$B$7)</f>
        <v>22.55</v>
      </c>
      <c r="E35" s="27" t="n">
        <f aca="false">MAX(0,$B$5-B35)</f>
        <v>182.99</v>
      </c>
    </row>
    <row r="36" customFormat="false" ht="15" hidden="false" customHeight="false" outlineLevel="0" collapsed="false">
      <c r="A36" s="28" t="n">
        <v>6</v>
      </c>
      <c r="B36" s="29" t="n">
        <f aca="false">A36*$B$6</f>
        <v>300</v>
      </c>
      <c r="C36" s="29" t="n">
        <f aca="false">A36*$B$7</f>
        <v>272.94</v>
      </c>
      <c r="D36" s="29" t="n">
        <f aca="false">A36*($B$6-$B$7)</f>
        <v>27.06</v>
      </c>
      <c r="E36" s="29" t="n">
        <f aca="false">MAX(0,$B$5-B36)</f>
        <v>132.99</v>
      </c>
    </row>
    <row r="37" customFormat="false" ht="15" hidden="false" customHeight="false" outlineLevel="0" collapsed="false">
      <c r="A37" s="26" t="n">
        <v>7</v>
      </c>
      <c r="B37" s="27" t="n">
        <f aca="false">A37*$B$6</f>
        <v>350</v>
      </c>
      <c r="C37" s="27" t="n">
        <f aca="false">A37*$B$7</f>
        <v>318.43</v>
      </c>
      <c r="D37" s="27" t="n">
        <f aca="false">A37*($B$6-$B$7)</f>
        <v>31.57</v>
      </c>
      <c r="E37" s="27" t="n">
        <f aca="false">MAX(0,$B$5-B37)</f>
        <v>82.99</v>
      </c>
    </row>
    <row r="38" customFormat="false" ht="15" hidden="false" customHeight="false" outlineLevel="0" collapsed="false">
      <c r="A38" s="28" t="n">
        <v>8</v>
      </c>
      <c r="B38" s="29" t="n">
        <f aca="false">A38*$B$6</f>
        <v>400</v>
      </c>
      <c r="C38" s="29" t="n">
        <f aca="false">A38*$B$7</f>
        <v>363.92</v>
      </c>
      <c r="D38" s="29" t="n">
        <f aca="false">A38*($B$6-$B$7)</f>
        <v>36.08</v>
      </c>
      <c r="E38" s="29" t="n">
        <f aca="false">MAX(0,$B$5-B38)</f>
        <v>32.99</v>
      </c>
    </row>
    <row r="39" customFormat="false" ht="15" hidden="false" customHeight="false" outlineLevel="0" collapsed="false">
      <c r="A39" s="26" t="n">
        <v>9</v>
      </c>
      <c r="B39" s="27" t="n">
        <f aca="false">A39*$B$6</f>
        <v>450</v>
      </c>
      <c r="C39" s="27" t="n">
        <f aca="false">A39*$B$7</f>
        <v>409.41</v>
      </c>
      <c r="D39" s="27" t="n">
        <f aca="false">A39*($B$6-$B$7)</f>
        <v>40.59</v>
      </c>
      <c r="E39" s="27" t="n">
        <f aca="false">MAX(0,$B$5-B39)</f>
        <v>0</v>
      </c>
    </row>
    <row r="40" customFormat="false" ht="15" hidden="false" customHeight="false" outlineLevel="0" collapsed="false">
      <c r="A40" s="28" t="n">
        <v>10</v>
      </c>
      <c r="B40" s="29" t="n">
        <f aca="false">A40*$B$6</f>
        <v>500</v>
      </c>
      <c r="C40" s="29" t="n">
        <f aca="false">A40*$B$7</f>
        <v>454.9</v>
      </c>
      <c r="D40" s="29" t="n">
        <f aca="false">A40*($B$6-$B$7)</f>
        <v>45.1</v>
      </c>
      <c r="E40" s="29" t="n">
        <f aca="false">MAX(0,$B$5-B40)</f>
        <v>0</v>
      </c>
    </row>
    <row r="41" customFormat="false" ht="15" hidden="false" customHeight="false" outlineLevel="0" collapsed="false">
      <c r="A41" s="26" t="n">
        <v>11</v>
      </c>
      <c r="B41" s="27" t="n">
        <f aca="false">A41*$B$6</f>
        <v>550</v>
      </c>
      <c r="C41" s="27" t="n">
        <f aca="false">A41*$B$7</f>
        <v>500.39</v>
      </c>
      <c r="D41" s="27" t="n">
        <f aca="false">A41*($B$6-$B$7)</f>
        <v>49.61</v>
      </c>
      <c r="E41" s="27" t="n">
        <f aca="false">MAX(0,$B$5-B41)</f>
        <v>0</v>
      </c>
    </row>
    <row r="42" customFormat="false" ht="15" hidden="false" customHeight="false" outlineLevel="0" collapsed="false">
      <c r="A42" s="28" t="n">
        <v>12</v>
      </c>
      <c r="B42" s="29" t="n">
        <f aca="false">A42*$B$6</f>
        <v>600</v>
      </c>
      <c r="C42" s="29" t="n">
        <f aca="false">A42*$B$7</f>
        <v>545.88</v>
      </c>
      <c r="D42" s="29" t="n">
        <f aca="false">A42*($B$6-$B$7)</f>
        <v>54.12</v>
      </c>
      <c r="E42" s="29" t="n">
        <f aca="false">MAX(0,$B$5-B42)</f>
        <v>0</v>
      </c>
    </row>
    <row r="45" customFormat="false" ht="19.5" hidden="false" customHeight="true" outlineLevel="0" collapsed="false">
      <c r="A45" s="3" t="s">
        <v>90</v>
      </c>
      <c r="B45" s="4"/>
      <c r="C45" s="4"/>
      <c r="D45" s="4"/>
      <c r="E45" s="4"/>
      <c r="F45" s="4"/>
    </row>
    <row r="46" customFormat="false" ht="15" hidden="false" customHeight="false" outlineLevel="0" collapsed="false">
      <c r="A46" s="30" t="s">
        <v>91</v>
      </c>
      <c r="B46" s="30"/>
      <c r="C46" s="30"/>
      <c r="D46" s="30"/>
      <c r="E46" s="30"/>
      <c r="F46" s="30"/>
    </row>
    <row r="47" customFormat="false" ht="27.75" hidden="false" customHeight="true" outlineLevel="0" collapsed="false">
      <c r="A47" s="31" t="s">
        <v>92</v>
      </c>
      <c r="B47" s="31" t="s">
        <v>93</v>
      </c>
      <c r="C47" s="31" t="s">
        <v>68</v>
      </c>
      <c r="D47" s="31" t="s">
        <v>94</v>
      </c>
      <c r="E47" s="31" t="s">
        <v>95</v>
      </c>
      <c r="F47" s="31" t="s">
        <v>96</v>
      </c>
    </row>
    <row r="48" customFormat="false" ht="15" hidden="false" customHeight="false" outlineLevel="0" collapsed="false">
      <c r="A48" s="32" t="n">
        <v>45.49</v>
      </c>
      <c r="B48" s="33" t="n">
        <f aca="false">($B$6-A48)/$B$6</f>
        <v>0.0902</v>
      </c>
      <c r="C48" s="27" t="n">
        <f aca="false">$B$13*A48</f>
        <v>363.92</v>
      </c>
      <c r="D48" s="27" t="n">
        <f aca="false">$B$16</f>
        <v>32.99</v>
      </c>
      <c r="E48" s="27" t="n">
        <f aca="false">C48+D48</f>
        <v>396.91</v>
      </c>
      <c r="F48" s="27" t="n">
        <f aca="false">$B$18-E48</f>
        <v>0</v>
      </c>
      <c r="G48" s="14" t="s">
        <v>97</v>
      </c>
    </row>
    <row r="49" customFormat="false" ht="15" hidden="false" customHeight="false" outlineLevel="0" collapsed="false">
      <c r="A49" s="34" t="n">
        <v>43.99</v>
      </c>
      <c r="B49" s="35" t="n">
        <f aca="false">($B$6-A49)/$B$6</f>
        <v>0.1202</v>
      </c>
      <c r="C49" s="29" t="n">
        <f aca="false">$B$13*A49</f>
        <v>351.92</v>
      </c>
      <c r="D49" s="29" t="n">
        <f aca="false">$B$16</f>
        <v>32.99</v>
      </c>
      <c r="E49" s="29" t="n">
        <f aca="false">C49+D49</f>
        <v>384.91</v>
      </c>
      <c r="F49" s="29" t="n">
        <f aca="false">$B$18-E49</f>
        <v>12</v>
      </c>
      <c r="G49" s="14" t="s">
        <v>98</v>
      </c>
    </row>
    <row r="50" customFormat="false" ht="15" hidden="false" customHeight="false" outlineLevel="0" collapsed="false">
      <c r="A50" s="32" t="n">
        <v>41.99</v>
      </c>
      <c r="B50" s="33" t="n">
        <f aca="false">($B$6-A50)/$B$6</f>
        <v>0.1602</v>
      </c>
      <c r="C50" s="27" t="n">
        <f aca="false">$B$13*A50</f>
        <v>335.92</v>
      </c>
      <c r="D50" s="27" t="n">
        <f aca="false">$B$16</f>
        <v>32.99</v>
      </c>
      <c r="E50" s="27" t="n">
        <f aca="false">C50+D50</f>
        <v>368.91</v>
      </c>
      <c r="F50" s="27" t="n">
        <f aca="false">$B$18-E50</f>
        <v>28</v>
      </c>
      <c r="G50" s="14" t="s">
        <v>99</v>
      </c>
    </row>
    <row r="51" customFormat="false" ht="15" hidden="false" customHeight="false" outlineLevel="0" collapsed="false">
      <c r="A51" s="34" t="n">
        <v>39.99</v>
      </c>
      <c r="B51" s="35" t="n">
        <f aca="false">($B$6-A51)/$B$6</f>
        <v>0.2002</v>
      </c>
      <c r="C51" s="29" t="n">
        <f aca="false">$B$13*A51</f>
        <v>319.92</v>
      </c>
      <c r="D51" s="29" t="n">
        <f aca="false">$B$16</f>
        <v>32.99</v>
      </c>
      <c r="E51" s="29" t="n">
        <f aca="false">C51+D51</f>
        <v>352.91</v>
      </c>
      <c r="F51" s="29" t="n">
        <f aca="false">$B$18-E51</f>
        <v>44</v>
      </c>
      <c r="G51" s="14" t="s">
        <v>100</v>
      </c>
    </row>
    <row r="52" customFormat="false" ht="15" hidden="false" customHeight="false" outlineLevel="0" collapsed="false">
      <c r="A52" s="32" t="n">
        <v>37.5</v>
      </c>
      <c r="B52" s="33" t="n">
        <f aca="false">($B$6-A52)/$B$6</f>
        <v>0.25</v>
      </c>
      <c r="C52" s="27" t="n">
        <f aca="false">$B$13*A52</f>
        <v>300</v>
      </c>
      <c r="D52" s="27" t="n">
        <f aca="false">$B$16</f>
        <v>32.99</v>
      </c>
      <c r="E52" s="27" t="n">
        <f aca="false">C52+D52</f>
        <v>332.99</v>
      </c>
      <c r="F52" s="27" t="n">
        <f aca="false">$B$18-E52</f>
        <v>63.92</v>
      </c>
      <c r="G52" s="14" t="s">
        <v>101</v>
      </c>
    </row>
    <row r="54" customFormat="false" ht="30" hidden="false" customHeight="true" outlineLevel="0" collapsed="false">
      <c r="A54" s="19" t="s">
        <v>102</v>
      </c>
      <c r="B54" s="19"/>
      <c r="C54" s="19"/>
      <c r="D54" s="19"/>
      <c r="E54" s="19"/>
      <c r="F54" s="19"/>
      <c r="G54" s="19"/>
    </row>
  </sheetData>
  <mergeCells count="2">
    <mergeCell ref="A46:F46"/>
    <mergeCell ref="A54:G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8"/>
    <col collapsed="false" customWidth="true" hidden="false" outlineLevel="0" max="2" min="2" style="0" width="15"/>
    <col collapsed="false" customWidth="true" hidden="false" outlineLevel="0" max="3" min="3" style="0" width="12"/>
    <col collapsed="false" customWidth="true" hidden="false" outlineLevel="0" max="4" min="4" style="0" width="14"/>
    <col collapsed="false" customWidth="true" hidden="false" outlineLevel="0" max="5" min="5" style="0" width="16"/>
    <col collapsed="false" customWidth="true" hidden="false" outlineLevel="0" max="6" min="6" style="0" width="76"/>
  </cols>
  <sheetData>
    <row r="1" customFormat="false" ht="21.75" hidden="false" customHeight="true" outlineLevel="0" collapsed="false">
      <c r="A1" s="1" t="s">
        <v>103</v>
      </c>
    </row>
    <row r="2" customFormat="false" ht="15" hidden="false" customHeight="false" outlineLevel="0" collapsed="false">
      <c r="A2" s="36" t="s">
        <v>104</v>
      </c>
      <c r="B2" s="36"/>
      <c r="C2" s="36"/>
      <c r="D2" s="36"/>
      <c r="E2" s="36"/>
      <c r="F2" s="36"/>
    </row>
    <row r="4" customFormat="false" ht="19.5" hidden="false" customHeight="true" outlineLevel="0" collapsed="false">
      <c r="A4" s="3" t="s">
        <v>105</v>
      </c>
      <c r="B4" s="4"/>
      <c r="C4" s="4"/>
      <c r="D4" s="4"/>
      <c r="E4" s="4"/>
      <c r="F4" s="4"/>
    </row>
    <row r="5" customFormat="false" ht="15" hidden="false" customHeight="false" outlineLevel="0" collapsed="false">
      <c r="A5" s="6" t="s">
        <v>106</v>
      </c>
      <c r="B5" s="7" t="n">
        <v>798.9</v>
      </c>
      <c r="F5" s="8" t="s">
        <v>107</v>
      </c>
    </row>
    <row r="6" customFormat="false" ht="15" hidden="false" customHeight="false" outlineLevel="0" collapsed="false">
      <c r="A6" s="6" t="s">
        <v>108</v>
      </c>
      <c r="B6" s="37" t="n">
        <v>0.03</v>
      </c>
      <c r="F6" s="8" t="s">
        <v>109</v>
      </c>
    </row>
    <row r="7" customFormat="false" ht="15" hidden="false" customHeight="false" outlineLevel="0" collapsed="false">
      <c r="A7" s="6" t="s">
        <v>110</v>
      </c>
      <c r="B7" s="37" t="n">
        <v>0.01</v>
      </c>
      <c r="F7" s="8" t="s">
        <v>111</v>
      </c>
    </row>
    <row r="8" customFormat="false" ht="15" hidden="false" customHeight="false" outlineLevel="0" collapsed="false">
      <c r="A8" s="6" t="s">
        <v>112</v>
      </c>
      <c r="B8" s="37" t="n">
        <v>0.03</v>
      </c>
      <c r="F8" s="8" t="s">
        <v>113</v>
      </c>
    </row>
    <row r="9" customFormat="false" ht="15" hidden="false" customHeight="false" outlineLevel="0" collapsed="false">
      <c r="A9" s="6" t="s">
        <v>114</v>
      </c>
      <c r="B9" s="7" t="n">
        <v>10</v>
      </c>
      <c r="F9" s="8" t="s">
        <v>115</v>
      </c>
    </row>
    <row r="10" customFormat="false" ht="15" hidden="false" customHeight="false" outlineLevel="0" collapsed="false">
      <c r="A10" s="6" t="s">
        <v>116</v>
      </c>
      <c r="B10" s="37" t="n">
        <v>0.05</v>
      </c>
      <c r="F10" s="8" t="s">
        <v>117</v>
      </c>
    </row>
    <row r="11" customFormat="false" ht="15" hidden="false" customHeight="false" outlineLevel="0" collapsed="false">
      <c r="A11" s="6" t="s">
        <v>118</v>
      </c>
      <c r="B11" s="7" t="n">
        <v>41.99</v>
      </c>
      <c r="F11" s="8" t="s">
        <v>119</v>
      </c>
    </row>
    <row r="12" customFormat="false" ht="15" hidden="false" customHeight="false" outlineLevel="0" collapsed="false">
      <c r="A12" s="6" t="s">
        <v>120</v>
      </c>
      <c r="B12" s="7" t="n">
        <v>79.99</v>
      </c>
      <c r="F12" s="8" t="s">
        <v>121</v>
      </c>
    </row>
    <row r="13" customFormat="false" ht="15" hidden="false" customHeight="false" outlineLevel="0" collapsed="false">
      <c r="A13" s="6" t="s">
        <v>122</v>
      </c>
      <c r="B13" s="7" t="n">
        <v>372</v>
      </c>
      <c r="F13" s="8" t="s">
        <v>123</v>
      </c>
    </row>
    <row r="15" customFormat="false" ht="19.5" hidden="false" customHeight="true" outlineLevel="0" collapsed="false">
      <c r="A15" s="3" t="s">
        <v>124</v>
      </c>
      <c r="B15" s="4"/>
      <c r="C15" s="4"/>
      <c r="D15" s="4"/>
      <c r="E15" s="4"/>
      <c r="F15" s="4"/>
    </row>
    <row r="16" customFormat="false" ht="18" hidden="false" customHeight="true" outlineLevel="0" collapsed="false">
      <c r="A16" s="38" t="s">
        <v>125</v>
      </c>
      <c r="B16" s="38" t="s">
        <v>88</v>
      </c>
      <c r="C16" s="38" t="s">
        <v>126</v>
      </c>
      <c r="D16" s="38" t="s">
        <v>127</v>
      </c>
      <c r="E16" s="38" t="s">
        <v>128</v>
      </c>
      <c r="F16" s="38" t="s">
        <v>129</v>
      </c>
    </row>
    <row r="17" customFormat="false" ht="15" hidden="false" customHeight="false" outlineLevel="0" collapsed="false">
      <c r="A17" s="39" t="s">
        <v>130</v>
      </c>
      <c r="B17" s="40"/>
      <c r="C17" s="40"/>
      <c r="D17" s="40"/>
      <c r="E17" s="40"/>
      <c r="F17" s="40"/>
    </row>
    <row r="18" customFormat="false" ht="30" hidden="false" customHeight="true" outlineLevel="0" collapsed="false">
      <c r="A18" s="41" t="s">
        <v>131</v>
      </c>
      <c r="B18" s="27" t="n">
        <f aca="false">MAX(0,Kalkulation!B16-$B$5-Kalkulation!B9)</f>
        <v>6.09000000000003</v>
      </c>
      <c r="C18" s="42" t="s">
        <v>132</v>
      </c>
      <c r="D18" s="27" t="n">
        <f aca="false">IF(C18="Ja",B18,0)</f>
        <v>0</v>
      </c>
      <c r="E18" s="27" t="n">
        <f aca="false">IF(OR(C18="Ja",C18="Prüfen"),B18,0)</f>
        <v>6.09000000000003</v>
      </c>
      <c r="F18" s="43" t="s">
        <v>133</v>
      </c>
    </row>
    <row r="19" customFormat="false" ht="30" hidden="false" customHeight="true" outlineLevel="0" collapsed="false">
      <c r="A19" s="41" t="s">
        <v>134</v>
      </c>
      <c r="B19" s="44" t="n">
        <v>50</v>
      </c>
      <c r="C19" s="42" t="s">
        <v>135</v>
      </c>
      <c r="D19" s="27" t="n">
        <f aca="false">IF(C19="Ja",B19,0)</f>
        <v>0</v>
      </c>
      <c r="E19" s="27" t="n">
        <f aca="false">IF(OR(C19="Ja",C19="Prüfen"),B19,0)</f>
        <v>0</v>
      </c>
      <c r="F19" s="43" t="s">
        <v>136</v>
      </c>
    </row>
    <row r="20" customFormat="false" ht="30" hidden="false" customHeight="true" outlineLevel="0" collapsed="false">
      <c r="A20" s="41" t="s">
        <v>137</v>
      </c>
      <c r="B20" s="44" t="n">
        <v>90</v>
      </c>
      <c r="C20" s="42" t="s">
        <v>135</v>
      </c>
      <c r="D20" s="27" t="n">
        <f aca="false">IF(C20="Ja",B20,0)</f>
        <v>0</v>
      </c>
      <c r="E20" s="27" t="n">
        <f aca="false">IF(OR(C20="Ja",C20="Prüfen"),B20,0)</f>
        <v>0</v>
      </c>
      <c r="F20" s="43" t="s">
        <v>138</v>
      </c>
    </row>
    <row r="21" customFormat="false" ht="30" hidden="false" customHeight="true" outlineLevel="0" collapsed="false">
      <c r="A21" s="41" t="s">
        <v>139</v>
      </c>
      <c r="B21" s="44" t="n">
        <v>30</v>
      </c>
      <c r="C21" s="42" t="s">
        <v>135</v>
      </c>
      <c r="D21" s="27" t="n">
        <f aca="false">IF(C21="Ja",B21,0)</f>
        <v>0</v>
      </c>
      <c r="E21" s="27" t="n">
        <f aca="false">IF(OR(C21="Ja",C21="Prüfen"),B21,0)</f>
        <v>0</v>
      </c>
      <c r="F21" s="43" t="s">
        <v>140</v>
      </c>
    </row>
    <row r="22" customFormat="false" ht="15" hidden="false" customHeight="false" outlineLevel="0" collapsed="false">
      <c r="A22" s="39" t="s">
        <v>141</v>
      </c>
      <c r="B22" s="40"/>
      <c r="C22" s="40"/>
      <c r="D22" s="40"/>
      <c r="E22" s="40"/>
      <c r="F22" s="40"/>
    </row>
    <row r="23" customFormat="false" ht="30" hidden="false" customHeight="true" outlineLevel="0" collapsed="false">
      <c r="A23" s="41" t="s">
        <v>142</v>
      </c>
      <c r="B23" s="27" t="n">
        <f aca="false">Kalkulation!B16*$B$6</f>
        <v>25.6497</v>
      </c>
      <c r="C23" s="42" t="s">
        <v>132</v>
      </c>
      <c r="D23" s="27" t="n">
        <f aca="false">IF(C23="Ja",B23,0)</f>
        <v>0</v>
      </c>
      <c r="E23" s="27" t="n">
        <f aca="false">IF(OR(C23="Ja",C23="Prüfen"),B23,0)</f>
        <v>25.6497</v>
      </c>
      <c r="F23" s="43" t="s">
        <v>143</v>
      </c>
    </row>
    <row r="24" customFormat="false" ht="30" hidden="false" customHeight="true" outlineLevel="0" collapsed="false">
      <c r="A24" s="41" t="s">
        <v>144</v>
      </c>
      <c r="B24" s="27" t="n">
        <f aca="false">Kalkulation!B16*$B$7</f>
        <v>8.5499</v>
      </c>
      <c r="C24" s="42" t="s">
        <v>132</v>
      </c>
      <c r="D24" s="27" t="n">
        <f aca="false">IF(C24="Ja",B24,0)</f>
        <v>0</v>
      </c>
      <c r="E24" s="27" t="n">
        <f aca="false">IF(OR(C24="Ja",C24="Prüfen"),B24,0)</f>
        <v>8.5499</v>
      </c>
      <c r="F24" s="43" t="s">
        <v>145</v>
      </c>
    </row>
    <row r="25" customFormat="false" ht="30" hidden="false" customHeight="true" outlineLevel="0" collapsed="false">
      <c r="A25" s="41" t="s">
        <v>112</v>
      </c>
      <c r="B25" s="27" t="n">
        <f aca="false">Kalkulation!B16*$B$8</f>
        <v>25.6497</v>
      </c>
      <c r="C25" s="42" t="s">
        <v>135</v>
      </c>
      <c r="D25" s="27" t="n">
        <f aca="false">IF(C25="Ja",B25,0)</f>
        <v>0</v>
      </c>
      <c r="E25" s="27" t="n">
        <f aca="false">IF(OR(C25="Ja",C25="Prüfen"),B25,0)</f>
        <v>0</v>
      </c>
      <c r="F25" s="43" t="s">
        <v>146</v>
      </c>
    </row>
    <row r="26" customFormat="false" ht="30" hidden="false" customHeight="true" outlineLevel="0" collapsed="false">
      <c r="A26" s="41" t="s">
        <v>147</v>
      </c>
      <c r="B26" s="27" t="n">
        <f aca="false">$B$9</f>
        <v>10</v>
      </c>
      <c r="C26" s="42" t="s">
        <v>132</v>
      </c>
      <c r="D26" s="27" t="n">
        <f aca="false">IF(C26="Ja",B26,0)</f>
        <v>0</v>
      </c>
      <c r="E26" s="27" t="n">
        <f aca="false">IF(OR(C26="Ja",C26="Prüfen"),B26,0)</f>
        <v>10</v>
      </c>
      <c r="F26" s="43" t="s">
        <v>148</v>
      </c>
    </row>
    <row r="27" customFormat="false" ht="30" hidden="false" customHeight="true" outlineLevel="0" collapsed="false">
      <c r="A27" s="41" t="s">
        <v>149</v>
      </c>
      <c r="B27" s="27" t="n">
        <f aca="false">'PSN-Karten'!B14*$B$10</f>
        <v>20</v>
      </c>
      <c r="C27" s="42" t="s">
        <v>132</v>
      </c>
      <c r="D27" s="27" t="n">
        <f aca="false">IF(C27="Ja",B27,0)</f>
        <v>0</v>
      </c>
      <c r="E27" s="27" t="n">
        <f aca="false">IF(OR(C27="Ja",C27="Prüfen"),B27,0)</f>
        <v>20</v>
      </c>
      <c r="F27" s="43" t="s">
        <v>150</v>
      </c>
    </row>
    <row r="28" customFormat="false" ht="30" hidden="false" customHeight="true" outlineLevel="0" collapsed="false">
      <c r="A28" s="41" t="s">
        <v>151</v>
      </c>
      <c r="B28" s="27" t="n">
        <f aca="false">'PSN-Karten'!B13*('PSN-Karten'!B7-$B$11)</f>
        <v>28</v>
      </c>
      <c r="C28" s="42" t="s">
        <v>132</v>
      </c>
      <c r="D28" s="27" t="n">
        <f aca="false">IF(C28="Ja",B28,0)</f>
        <v>0</v>
      </c>
      <c r="E28" s="27" t="n">
        <f aca="false">IF(OR(C28="Ja",C28="Prüfen"),B28,0)</f>
        <v>28</v>
      </c>
      <c r="F28" s="43" t="s">
        <v>152</v>
      </c>
    </row>
    <row r="29" customFormat="false" ht="15" hidden="false" customHeight="false" outlineLevel="0" collapsed="false">
      <c r="A29" s="39" t="s">
        <v>153</v>
      </c>
      <c r="B29" s="40"/>
      <c r="C29" s="40"/>
      <c r="D29" s="40"/>
      <c r="E29" s="40"/>
      <c r="F29" s="40"/>
    </row>
    <row r="30" customFormat="false" ht="30" hidden="false" customHeight="true" outlineLevel="0" collapsed="false">
      <c r="A30" s="41" t="s">
        <v>154</v>
      </c>
      <c r="B30" s="27" t="n">
        <f aca="false">$B$12</f>
        <v>79.99</v>
      </c>
      <c r="C30" s="42" t="s">
        <v>132</v>
      </c>
      <c r="D30" s="27" t="n">
        <f aca="false">IF(C30="Ja",B30,0)</f>
        <v>0</v>
      </c>
      <c r="E30" s="27" t="n">
        <f aca="false">IF(OR(C30="Ja",C30="Prüfen"),B30,0)</f>
        <v>79.99</v>
      </c>
      <c r="F30" s="43" t="s">
        <v>155</v>
      </c>
    </row>
    <row r="31" customFormat="false" ht="30" hidden="false" customHeight="true" outlineLevel="0" collapsed="false">
      <c r="A31" s="41" t="s">
        <v>156</v>
      </c>
      <c r="B31" s="27" t="n">
        <f aca="false">MAX(0,$B$13-Kalkulation!B8-Kalkulation!B9)</f>
        <v>0</v>
      </c>
      <c r="C31" s="42" t="s">
        <v>132</v>
      </c>
      <c r="D31" s="27" t="n">
        <f aca="false">IF(C31="Ja",B31,0)</f>
        <v>0</v>
      </c>
      <c r="E31" s="27" t="n">
        <f aca="false">IF(OR(C31="Ja",C31="Prüfen"),B31,0)</f>
        <v>0</v>
      </c>
      <c r="F31" s="43" t="s">
        <v>157</v>
      </c>
    </row>
    <row r="32" customFormat="false" ht="30" hidden="false" customHeight="true" outlineLevel="0" collapsed="false">
      <c r="A32" s="41" t="s">
        <v>158</v>
      </c>
      <c r="B32" s="44" t="n">
        <v>0</v>
      </c>
      <c r="C32" s="42" t="s">
        <v>159</v>
      </c>
      <c r="D32" s="27" t="n">
        <f aca="false">IF(C32="Ja",B32,0)</f>
        <v>0</v>
      </c>
      <c r="E32" s="27" t="n">
        <f aca="false">IF(OR(C32="Ja",C32="Prüfen"),B32,0)</f>
        <v>0</v>
      </c>
      <c r="F32" s="43" t="s">
        <v>160</v>
      </c>
    </row>
    <row r="33" customFormat="false" ht="30" hidden="false" customHeight="true" outlineLevel="0" collapsed="false">
      <c r="A33" s="41" t="s">
        <v>161</v>
      </c>
      <c r="B33" s="44" t="n">
        <v>0</v>
      </c>
      <c r="C33" s="42" t="s">
        <v>132</v>
      </c>
      <c r="D33" s="27" t="n">
        <f aca="false">IF(C33="Ja",B33,0)</f>
        <v>0</v>
      </c>
      <c r="E33" s="27" t="n">
        <f aca="false">IF(OR(C33="Ja",C33="Prüfen"),B33,0)</f>
        <v>0</v>
      </c>
      <c r="F33" s="43" t="s">
        <v>162</v>
      </c>
    </row>
    <row r="34" customFormat="false" ht="30" hidden="false" customHeight="true" outlineLevel="0" collapsed="false">
      <c r="A34" s="41" t="s">
        <v>163</v>
      </c>
      <c r="B34" s="44" t="n">
        <v>0</v>
      </c>
      <c r="C34" s="42" t="s">
        <v>132</v>
      </c>
      <c r="D34" s="27" t="n">
        <f aca="false">IF(C34="Ja",B34,0)</f>
        <v>0</v>
      </c>
      <c r="E34" s="27" t="n">
        <f aca="false">IF(OR(C34="Ja",C34="Prüfen"),B34,0)</f>
        <v>0</v>
      </c>
      <c r="F34" s="43" t="s">
        <v>164</v>
      </c>
    </row>
    <row r="36" customFormat="false" ht="19.5" hidden="false" customHeight="true" outlineLevel="0" collapsed="false">
      <c r="A36" s="3" t="s">
        <v>165</v>
      </c>
      <c r="B36" s="4"/>
      <c r="C36" s="4"/>
      <c r="D36" s="4"/>
      <c r="E36" s="4"/>
      <c r="F36" s="4"/>
    </row>
    <row r="37" customFormat="false" ht="15" hidden="false" customHeight="false" outlineLevel="0" collapsed="false">
      <c r="A37" s="6" t="s">
        <v>166</v>
      </c>
      <c r="B37" s="18" t="n">
        <f aca="false">'PSN-Karten'!B18</f>
        <v>396.91</v>
      </c>
      <c r="F37" s="8" t="s">
        <v>167</v>
      </c>
    </row>
    <row r="38" customFormat="false" ht="15" hidden="false" customHeight="false" outlineLevel="0" collapsed="false">
      <c r="A38" s="6" t="s">
        <v>168</v>
      </c>
      <c r="B38" s="9" t="n">
        <f aca="false">SUM(D18:D34)</f>
        <v>0</v>
      </c>
      <c r="F38" s="8" t="s">
        <v>169</v>
      </c>
    </row>
    <row r="39" customFormat="false" ht="15" hidden="false" customHeight="false" outlineLevel="0" collapsed="false">
      <c r="A39" s="6" t="s">
        <v>170</v>
      </c>
      <c r="B39" s="9" t="n">
        <f aca="false">SUM(E18:E34)-SUM(D18:D34)</f>
        <v>178.2796</v>
      </c>
      <c r="F39" s="8" t="s">
        <v>171</v>
      </c>
    </row>
    <row r="40" customFormat="false" ht="15" hidden="false" customHeight="false" outlineLevel="0" collapsed="false">
      <c r="A40" s="16" t="s">
        <v>172</v>
      </c>
      <c r="B40" s="45" t="n">
        <f aca="false">MAX(0,'PSN-Karten'!B18-SUM(D18:D34))</f>
        <v>396.91</v>
      </c>
      <c r="F40" s="8" t="s">
        <v>173</v>
      </c>
    </row>
    <row r="41" customFormat="false" ht="15" hidden="false" customHeight="false" outlineLevel="0" collapsed="false">
      <c r="A41" s="24" t="s">
        <v>174</v>
      </c>
      <c r="B41" s="46" t="n">
        <f aca="false">MAX(0,'PSN-Karten'!B18-SUM(E18:E34))</f>
        <v>218.6304</v>
      </c>
      <c r="F41" s="8" t="s">
        <v>175</v>
      </c>
    </row>
    <row r="43" customFormat="false" ht="45.75" hidden="false" customHeight="true" outlineLevel="0" collapsed="false">
      <c r="A43" s="19" t="s">
        <v>176</v>
      </c>
      <c r="B43" s="19"/>
      <c r="C43" s="19"/>
      <c r="D43" s="19"/>
      <c r="E43" s="19"/>
      <c r="F43" s="19"/>
    </row>
  </sheetData>
  <mergeCells count="2">
    <mergeCell ref="A2:F2"/>
    <mergeCell ref="A43:F43"/>
  </mergeCells>
  <dataValidations count="1">
    <dataValidation allowBlank="true" errorStyle="stop" operator="between" showDropDown="false" showErrorMessage="false" showInputMessage="false" sqref="C18:C34" type="list">
      <formula1>"Ja,Nein,Prüfen"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18"/>
    <col collapsed="false" customWidth="true" hidden="false" outlineLevel="0" max="4" min="4" style="0" width="60"/>
  </cols>
  <sheetData>
    <row r="1" customFormat="false" ht="21.75" hidden="false" customHeight="true" outlineLevel="0" collapsed="false">
      <c r="A1" s="1" t="s">
        <v>177</v>
      </c>
    </row>
    <row r="2" customFormat="false" ht="15" hidden="false" customHeight="false" outlineLevel="0" collapsed="false">
      <c r="A2" s="2" t="s">
        <v>178</v>
      </c>
    </row>
    <row r="4" customFormat="false" ht="18" hidden="false" customHeight="true" outlineLevel="0" collapsed="false">
      <c r="A4" s="38" t="s">
        <v>179</v>
      </c>
      <c r="B4" s="38" t="s">
        <v>180</v>
      </c>
      <c r="C4" s="38" t="s">
        <v>88</v>
      </c>
      <c r="D4" s="38" t="s">
        <v>181</v>
      </c>
    </row>
    <row r="5" customFormat="false" ht="15" hidden="false" customHeight="false" outlineLevel="0" collapsed="false">
      <c r="A5" s="47" t="s">
        <v>182</v>
      </c>
      <c r="B5" s="48" t="n">
        <f aca="false">Kalkulation!B6</f>
        <v>899.99</v>
      </c>
      <c r="C5" s="27" t="n">
        <f aca="false">$B$5-B5</f>
        <v>0</v>
      </c>
      <c r="D5" s="43" t="s">
        <v>183</v>
      </c>
    </row>
    <row r="6" customFormat="false" ht="15" hidden="false" customHeight="false" outlineLevel="0" collapsed="false">
      <c r="A6" s="47" t="s">
        <v>184</v>
      </c>
      <c r="B6" s="48" t="n">
        <f aca="false">Kalkulation!B16</f>
        <v>854.99</v>
      </c>
      <c r="C6" s="27" t="n">
        <f aca="false">$B$5-B6</f>
        <v>45</v>
      </c>
      <c r="D6" s="43" t="s">
        <v>185</v>
      </c>
    </row>
    <row r="7" customFormat="false" ht="15" hidden="false" customHeight="false" outlineLevel="0" collapsed="false">
      <c r="A7" s="47" t="s">
        <v>186</v>
      </c>
      <c r="B7" s="48" t="n">
        <f aca="false">Kalkulation!B18</f>
        <v>482.99</v>
      </c>
      <c r="C7" s="27" t="n">
        <f aca="false">$B$5-B7</f>
        <v>417</v>
      </c>
      <c r="D7" s="43" t="s">
        <v>187</v>
      </c>
    </row>
    <row r="8" customFormat="false" ht="15" hidden="false" customHeight="false" outlineLevel="0" collapsed="false">
      <c r="A8" s="47" t="s">
        <v>188</v>
      </c>
      <c r="B8" s="48" t="n">
        <f aca="false">Kalkulation!B20</f>
        <v>432.99</v>
      </c>
      <c r="C8" s="27" t="n">
        <f aca="false">$B$5-B8</f>
        <v>467</v>
      </c>
      <c r="D8" s="43" t="s">
        <v>189</v>
      </c>
    </row>
    <row r="9" customFormat="false" ht="15" hidden="false" customHeight="false" outlineLevel="0" collapsed="false">
      <c r="A9" s="47" t="s">
        <v>190</v>
      </c>
      <c r="B9" s="48" t="n">
        <f aca="false">'PSN-Karten'!B18</f>
        <v>396.91</v>
      </c>
      <c r="C9" s="27" t="n">
        <f aca="false">$B$5-B9</f>
        <v>503.08</v>
      </c>
      <c r="D9" s="43" t="s">
        <v>191</v>
      </c>
    </row>
    <row r="10" customFormat="false" ht="15" hidden="false" customHeight="false" outlineLevel="0" collapsed="false">
      <c r="A10" s="47" t="s">
        <v>192</v>
      </c>
      <c r="B10" s="48" t="n">
        <f aca="false">'PSN-Karten'!B25</f>
        <v>409.41</v>
      </c>
      <c r="C10" s="27" t="n">
        <f aca="false">$B$5-B10</f>
        <v>490.58</v>
      </c>
      <c r="D10" s="43" t="s">
        <v>193</v>
      </c>
    </row>
    <row r="11" customFormat="false" ht="15" hidden="false" customHeight="false" outlineLevel="0" collapsed="false">
      <c r="A11" s="49" t="s">
        <v>194</v>
      </c>
      <c r="B11" s="50" t="n">
        <f aca="false">Sparhebel!B40</f>
        <v>396.91</v>
      </c>
      <c r="C11" s="51" t="n">
        <f aca="false">$B$5-B11</f>
        <v>503.08</v>
      </c>
      <c r="D11" s="52" t="s">
        <v>195</v>
      </c>
    </row>
    <row r="12" customFormat="false" ht="15" hidden="false" customHeight="false" outlineLevel="0" collapsed="false">
      <c r="A12" s="47" t="s">
        <v>196</v>
      </c>
      <c r="B12" s="48" t="n">
        <f aca="false">Sparhebel!B41</f>
        <v>218.6304</v>
      </c>
      <c r="C12" s="27" t="n">
        <f aca="false">$B$5-B12</f>
        <v>681.3596</v>
      </c>
      <c r="D12" s="43" t="s">
        <v>197</v>
      </c>
    </row>
    <row r="14" customFormat="false" ht="19.5" hidden="false" customHeight="true" outlineLevel="0" collapsed="false">
      <c r="A14" s="3" t="s">
        <v>198</v>
      </c>
      <c r="B14" s="4"/>
      <c r="C14" s="4"/>
      <c r="D14" s="4"/>
    </row>
    <row r="15" customFormat="false" ht="15" hidden="false" customHeight="false" outlineLevel="0" collapsed="false">
      <c r="A15" s="24" t="s">
        <v>199</v>
      </c>
      <c r="B15" s="46" t="n">
        <f aca="false">MIN(B5:B11)</f>
        <v>396.91</v>
      </c>
      <c r="D15" s="53" t="s">
        <v>200</v>
      </c>
    </row>
    <row r="16" customFormat="false" ht="15" hidden="false" customHeight="false" outlineLevel="0" collapsed="false">
      <c r="A16" s="6" t="s">
        <v>201</v>
      </c>
      <c r="B16" s="54" t="n">
        <f aca="false">B5-MIN(B5:B11)</f>
        <v>503.08</v>
      </c>
    </row>
    <row r="17" customFormat="false" ht="15" hidden="false" customHeight="false" outlineLevel="0" collapsed="false">
      <c r="A17" s="6" t="s">
        <v>202</v>
      </c>
      <c r="B17" s="15" t="n">
        <f aca="false">(B5-MIN(B5:B11))/B5</f>
        <v>0.558983988710986</v>
      </c>
    </row>
    <row r="18" customFormat="false" ht="15" hidden="false" customHeight="false" outlineLevel="0" collapsed="false">
      <c r="A18" s="24" t="s">
        <v>203</v>
      </c>
      <c r="B18" s="55" t="n">
        <f aca="false">MIN(B5:B12)</f>
        <v>218.6304</v>
      </c>
      <c r="D18" s="53" t="s">
        <v>204</v>
      </c>
    </row>
    <row r="20" customFormat="false" ht="45.75" hidden="false" customHeight="true" outlineLevel="0" collapsed="false">
      <c r="A20" s="20" t="s">
        <v>205</v>
      </c>
      <c r="B20" s="20"/>
      <c r="C20" s="20"/>
      <c r="D20" s="20"/>
    </row>
  </sheetData>
  <mergeCells count="1">
    <mergeCell ref="A20:D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2026-08-12T18:01:38Z</dcterms:created>
  <dc:creator>openpyxl</dc:creator>
  <dc:description/>
  <dc:language>en-US</dc:language>
  <cp:lastModifiedBy/>
  <dcterms:modified xsi:type="dcterms:W3CDTF">2026-08-12T18:01:38Z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