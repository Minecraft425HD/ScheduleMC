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lkulation" sheetId="1" state="visible" r:id="rId3"/>
    <sheet name="PSN-Karten" sheetId="2" state="visible" r:id="rId4"/>
    <sheet name="Szenari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<sst xmlns="http://schemas.openxmlformats.org/spreadsheetml/2006/main" count="117" uniqueCount="112">
  <si>
    <t xml:space="preserve">PlayStation 5 Pro — Kaufkalkulation</t>
  </si>
  <si>
    <t xml:space="preserve">Alle Beträge in Euro · Blaue Zahlen = Eingaben, die du ändern kannst · Schwarze Zahlen = berechnet</t>
  </si>
  <si>
    <t xml:space="preserve">1. Eingaben</t>
  </si>
  <si>
    <t xml:space="preserve">Position</t>
  </si>
  <si>
    <t xml:space="preserve">Wert</t>
  </si>
  <si>
    <t xml:space="preserve">Hinweis</t>
  </si>
  <si>
    <t xml:space="preserve">Listenpreis PS5 Pro</t>
  </si>
  <si>
    <t xml:space="preserve">Du hast "899 €" genannt — deine Zwischenwerte (482,99 / 432,99) gehen nur mit 899,99 € auf. Bei glatt 899,00 € hier überschreiben.</t>
  </si>
  <si>
    <t xml:space="preserve">Warenkorb-Rabatt (sofort)</t>
  </si>
  <si>
    <t xml:space="preserve">Wird direkt im Warenkorb abgezogen.</t>
  </si>
  <si>
    <t xml:space="preserve">Eintauschwert PS5 Slim</t>
  </si>
  <si>
    <t xml:space="preserve">Betrag, den du für die alte Konsole bekommst.</t>
  </si>
  <si>
    <t xml:space="preserve">Eintausch-Bonus von PlayStation</t>
  </si>
  <si>
    <t xml:space="preserve">Zusätzlicher Gutschein, nur bei Eintausch (nicht bei Privatverkauf).</t>
  </si>
  <si>
    <t xml:space="preserve">PSN-Karte — Nennwert</t>
  </si>
  <si>
    <t xml:space="preserve">Guthaben, das die Karte auf dem Konto gutschreibt.</t>
  </si>
  <si>
    <t xml:space="preserve">PSN-Karte — Kaufpreis</t>
  </si>
  <si>
    <t xml:space="preserve">Was du für die Karte bezahlst.</t>
  </si>
  <si>
    <t xml:space="preserve">2. Rechenweg bis zum Eigenanteil</t>
  </si>
  <si>
    <t xml:space="preserve">abzüglich Warenkorb-Rabatt</t>
  </si>
  <si>
    <t xml:space="preserve">Preis im Warenkorb</t>
  </si>
  <si>
    <t xml:space="preserve">Das steht an der Kasse.</t>
  </si>
  <si>
    <t xml:space="preserve">abzüglich Eintauschwert PS5 Slim</t>
  </si>
  <si>
    <t xml:space="preserve">Zwischensumme</t>
  </si>
  <si>
    <t xml:space="preserve">Deine genannten 482,99 €.</t>
  </si>
  <si>
    <t xml:space="preserve">abzüglich Eintausch-Bonus</t>
  </si>
  <si>
    <t xml:space="preserve">Eigenanteil — so viel zahlst du selbst</t>
  </si>
  <si>
    <t xml:space="preserve">Deine genannten 432,99 €. Basis für alles Weitere.</t>
  </si>
  <si>
    <t xml:space="preserve">3. Zahlung mit vergünstigten PSN-Guthabenkarten</t>
  </si>
  <si>
    <t xml:space="preserve">Jede Karte bringt 50 € Guthaben und kostet nur 45,49 € — Details und Stückzahlen auf dem Blatt "PSN-Karten".</t>
  </si>
  <si>
    <t xml:space="preserve">Ersparnis pro Karte</t>
  </si>
  <si>
    <t xml:space="preserve">Nennwert minus Kaufpreis.</t>
  </si>
  <si>
    <t xml:space="preserve">Rabatt in Prozent</t>
  </si>
  <si>
    <t xml:space="preserve">Variante A — nur volle Karten, Rest bar</t>
  </si>
  <si>
    <t xml:space="preserve">Empfohlen: kein Restguthaben, das liegen bleibt.</t>
  </si>
  <si>
    <t xml:space="preserve">Variante B — aufrunden, Barkosten</t>
  </si>
  <si>
    <t xml:space="preserve">Höhere Barkosten, dafür bleibt Guthaben übrig.</t>
  </si>
  <si>
    <t xml:space="preserve">Variante B — Restguthaben danach</t>
  </si>
  <si>
    <t xml:space="preserve">Nur etwas wert, wenn du es wirklich für Spiele ausgibst.</t>
  </si>
  <si>
    <t xml:space="preserve">4. Gegenprobe: Eintausch oder lieber privat verkaufen?</t>
  </si>
  <si>
    <t xml:space="preserve">Eintausch bringt insgesamt</t>
  </si>
  <si>
    <t xml:space="preserve">Eintauschwert plus Bonus.</t>
  </si>
  <si>
    <t xml:space="preserve">Privatverkauf lohnt sich ab</t>
  </si>
  <si>
    <t xml:space="preserve">Erst oberhalb dieses Preises ist ein privater Verkauf besser.</t>
  </si>
  <si>
    <t xml:space="preserve">Barwert des Bonus, falls PSN-Guthaben</t>
  </si>
  <si>
    <t xml:space="preserve">Ein 50-€-PSN-Gutschein ist real nur 45,49 € wert — so viel kostet er als Karte.</t>
  </si>
  <si>
    <t xml:space="preserve">Eintausch bar bewertet</t>
  </si>
  <si>
    <t xml:space="preserve">Realistischere Vergleichsschwelle, wenn der Bonus PSN-Guthaben ist.</t>
  </si>
  <si>
    <t xml:space="preserve">5. Wichtige Hinweise</t>
  </si>
  <si>
    <t xml:space="preserve">•  Die 372 € und der 50-€-Bonus gehören zum selben Vorgang: Du kannst die Slim entweder eintauschen ODER privat verkaufen, nicht beides.</t>
  </si>
  <si>
    <t xml:space="preserve">•  Prüfe vor dem Kauf, ob der Händler Hardware überhaupt mit PSN-Guthaben bezahlen lässt — bei PlayStation Direct gilt Wallet-Guthaben üblicherweise nur für Spiele und Abos, nicht für Konsolen.</t>
  </si>
  <si>
    <t xml:space="preserve">•  Ist der 50-€-Bonus ein PSN-Gutschein statt Bargeld, sinkt sein echter Wert auf 45,49 € (Zeile 34).</t>
  </si>
  <si>
    <t xml:space="preserve">•  Alle Preise stammen aus deinen Angaben vom 12.08.2026 und sind keine geprüften Händlerpreise.</t>
  </si>
  <si>
    <t xml:space="preserve">PSN-Guthabenkarten — wie viele lohnen sich?</t>
  </si>
  <si>
    <t xml:space="preserve">Grüne Zahlen kommen vom Blatt "Kalkulation".</t>
  </si>
  <si>
    <t xml:space="preserve">Ausgangslage</t>
  </si>
  <si>
    <t xml:space="preserve">Eigenanteil laut Kalkulation</t>
  </si>
  <si>
    <t xml:space="preserve">Nennwert je Karte</t>
  </si>
  <si>
    <t xml:space="preserve">Kaufpreis je Karte</t>
  </si>
  <si>
    <t xml:space="preserve">Ersparnis je Karte</t>
  </si>
  <si>
    <t xml:space="preserve">Variante A — nur volle Karten kaufen, Rest normal bezahlen</t>
  </si>
  <si>
    <t xml:space="preserve">Rechnerisch benötigte Karten</t>
  </si>
  <si>
    <t xml:space="preserve">Eigenanteil geteilt durch 50 €.</t>
  </si>
  <si>
    <t xml:space="preserve">Karten kaufen (abgerundet)</t>
  </si>
  <si>
    <t xml:space="preserve">Nur volle Karten.</t>
  </si>
  <si>
    <t xml:space="preserve">Damit gekauftes Guthaben</t>
  </si>
  <si>
    <t xml:space="preserve">Kosten der Karten</t>
  </si>
  <si>
    <t xml:space="preserve">Restbetrag normal bezahlen</t>
  </si>
  <si>
    <t xml:space="preserve">Per Karte oder PayPal, ohne Rabatt.</t>
  </si>
  <si>
    <t xml:space="preserve">Restguthaben übrig</t>
  </si>
  <si>
    <t xml:space="preserve">Es bleibt nichts liegen — der große Vorteil dieser Variante.</t>
  </si>
  <si>
    <t xml:space="preserve">Gesamtkosten Variante A</t>
  </si>
  <si>
    <t xml:space="preserve">Das zahlst du am Ende wirklich.</t>
  </si>
  <si>
    <t xml:space="preserve">Ersparnis gegenüber Direktzahlung</t>
  </si>
  <si>
    <t xml:space="preserve">Variante B — aufrunden und alles mit Guthaben bezahlen</t>
  </si>
  <si>
    <t xml:space="preserve">Karten kaufen (aufgerundet)</t>
  </si>
  <si>
    <t xml:space="preserve">Restguthaben nach dem Kauf</t>
  </si>
  <si>
    <t xml:space="preserve">Bleibt auf dem PSN-Konto liegen.</t>
  </si>
  <si>
    <t xml:space="preserve">Barkosten Variante B</t>
  </si>
  <si>
    <t xml:space="preserve">Höher als Variante A — du kaufst Guthaben auf Vorrat.</t>
  </si>
  <si>
    <t xml:space="preserve">Effektive Kosten, Restguthaben voll gerechnet</t>
  </si>
  <si>
    <t xml:space="preserve">Nur gültig, wenn du die restlichen Euro sicher für Spiele ausgibst.</t>
  </si>
  <si>
    <t xml:space="preserve">Übersicht: Karten, Guthaben und Ersparnis</t>
  </si>
  <si>
    <t xml:space="preserve">Karten</t>
  </si>
  <si>
    <t xml:space="preserve">Guthaben</t>
  </si>
  <si>
    <t xml:space="preserve">Kosten</t>
  </si>
  <si>
    <t xml:space="preserve">Ersparnis</t>
  </si>
  <si>
    <t xml:space="preserve">Rest zum Eigenanteil</t>
  </si>
  <si>
    <t xml:space="preserve">Die Spalte "Rest zum Eigenanteil" zeigt, was nach dem Einlösen der Karten noch offen bleibt. Bei 0,00 € ist der Eigenanteil gedeckt.</t>
  </si>
  <si>
    <t xml:space="preserve">Szenarien im Vergleich</t>
  </si>
  <si>
    <t xml:space="preserve">Von "nichts tun" bis "alles mitnehmen" — jede Zeile baut auf der vorherigen auf.</t>
  </si>
  <si>
    <t xml:space="preserve">Szenario</t>
  </si>
  <si>
    <t xml:space="preserve">Kosten für dich</t>
  </si>
  <si>
    <t xml:space="preserve">Was du dafür tun musst</t>
  </si>
  <si>
    <t xml:space="preserve">1 — Einfach zum Listenpreis kaufen</t>
  </si>
  <si>
    <t xml:space="preserve">Nichts. Referenzwert für alle Vergleiche.</t>
  </si>
  <si>
    <t xml:space="preserve">2 — Mit Warenkorb-Rabatt</t>
  </si>
  <si>
    <t xml:space="preserve">Rabatt wird automatisch abgezogen.</t>
  </si>
  <si>
    <t xml:space="preserve">3 — Plus Eintausch der PS5 Slim</t>
  </si>
  <si>
    <t xml:space="preserve">Alte Konsole einschicken bzw. abgeben.</t>
  </si>
  <si>
    <t xml:space="preserve">4 — Plus 50-€-Eintausch-Bonus</t>
  </si>
  <si>
    <t xml:space="preserve">Eintausch über die Bonus-Aktion abwickeln.</t>
  </si>
  <si>
    <t xml:space="preserve">5 — Plus PSN-Karten, Variante A</t>
  </si>
  <si>
    <t xml:space="preserve">Volle Karten günstig kaufen, Rest normal zahlen.</t>
  </si>
  <si>
    <t xml:space="preserve">6 — Plus PSN-Karten, Variante B</t>
  </si>
  <si>
    <t xml:space="preserve">Aufrunden — höhere Barkosten, Restguthaben bleibt übrig.</t>
  </si>
  <si>
    <t xml:space="preserve">Ergebnis</t>
  </si>
  <si>
    <t xml:space="preserve">Günstigste Variante (Barkosten)</t>
  </si>
  <si>
    <t xml:space="preserve">Kleinster Betrag aus der Tabelle oben.</t>
  </si>
  <si>
    <t xml:space="preserve">Gesamtersparnis gegenüber Listenpreis</t>
  </si>
  <si>
    <t xml:space="preserve">Ersparnis in Prozent</t>
  </si>
  <si>
    <t xml:space="preserve">Empfehlung: Szenario 5. Es hat die niedrigsten echten Barkosten, weil kein Guthaben ungenutzt auf dem PSN-Konto liegen bleibt. Szenario 6 sieht rechnerisch nur dann besser aus, wenn du das Restguthaben ohnehin für Spiele ausgeben würdest.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</si>
</sst>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&quot; €&quot;"/>
    <numFmt numFmtId="166" formatCode="0.0%"/>
    <numFmt numFmtId="167" formatCode="0.00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CE6F1"/>
      </patternFill>
    </fill>
    <fill>
      <patternFill patternType="solid">
        <fgColor rgb="FFDCE6F1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thin">
        <color rgb="FF404040"/>
      </top>
      <bottom style="double">
        <color rgb="FF40404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5"/>
    <col collapsed="false" customWidth="true" hidden="false" outlineLevel="0" max="3" min="3" style="0" width="62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</row>
    <row r="6" customFormat="false" ht="15" hidden="false" customHeight="false" outlineLevel="0" collapsed="false">
      <c r="A6" s="6" t="s">
        <v>6</v>
      </c>
      <c r="B6" s="7" t="n">
        <v>899.99</v>
      </c>
      <c r="C6" s="8" t="s">
        <v>7</v>
      </c>
    </row>
    <row r="7" customFormat="false" ht="15" hidden="false" customHeight="false" outlineLevel="0" collapsed="false">
      <c r="A7" s="6" t="s">
        <v>8</v>
      </c>
      <c r="B7" s="7" t="n">
        <v>45</v>
      </c>
      <c r="C7" s="8" t="s">
        <v>9</v>
      </c>
    </row>
    <row r="8" customFormat="false" ht="15" hidden="false" customHeight="false" outlineLevel="0" collapsed="false">
      <c r="A8" s="6" t="s">
        <v>10</v>
      </c>
      <c r="B8" s="7" t="n">
        <v>372</v>
      </c>
      <c r="C8" s="8" t="s">
        <v>11</v>
      </c>
    </row>
    <row r="9" customFormat="false" ht="15" hidden="false" customHeight="false" outlineLevel="0" collapsed="false">
      <c r="A9" s="6" t="s">
        <v>12</v>
      </c>
      <c r="B9" s="7" t="n">
        <v>50</v>
      </c>
      <c r="C9" s="8" t="s">
        <v>13</v>
      </c>
    </row>
    <row r="10" customFormat="false" ht="15" hidden="false" customHeight="false" outlineLevel="0" collapsed="false">
      <c r="A10" s="6" t="s">
        <v>14</v>
      </c>
      <c r="B10" s="7" t="n">
        <v>50</v>
      </c>
      <c r="C10" s="8" t="s">
        <v>15</v>
      </c>
    </row>
    <row r="11" customFormat="false" ht="15" hidden="false" customHeight="false" outlineLevel="0" collapsed="false">
      <c r="A11" s="6" t="s">
        <v>16</v>
      </c>
      <c r="B11" s="7" t="n">
        <v>45.49</v>
      </c>
      <c r="C11" s="8" t="s">
        <v>17</v>
      </c>
    </row>
    <row r="13" customFormat="false" ht="19.5" hidden="false" customHeight="true" outlineLevel="0" collapsed="false">
      <c r="A13" s="3" t="s">
        <v>18</v>
      </c>
      <c r="B13" s="4"/>
      <c r="C13" s="4"/>
    </row>
    <row r="14" customFormat="false" ht="15" hidden="false" customHeight="false" outlineLevel="0" collapsed="false">
      <c r="A14" s="6" t="s">
        <v>6</v>
      </c>
      <c r="B14" s="9" t="n">
        <f aca="false">B6</f>
        <v>899.99</v>
      </c>
    </row>
    <row r="15" customFormat="false" ht="15" hidden="false" customHeight="false" outlineLevel="0" collapsed="false">
      <c r="A15" s="6" t="s">
        <v>19</v>
      </c>
      <c r="B15" s="9" t="n">
        <f aca="false">-B7</f>
        <v>-45</v>
      </c>
    </row>
    <row r="16" customFormat="false" ht="15" hidden="false" customHeight="false" outlineLevel="0" collapsed="false">
      <c r="A16" s="10" t="s">
        <v>20</v>
      </c>
      <c r="B16" s="11" t="n">
        <f aca="false">SUM(B14:B15)</f>
        <v>854.99</v>
      </c>
      <c r="C16" s="8" t="s">
        <v>21</v>
      </c>
    </row>
    <row r="17" customFormat="false" ht="15" hidden="false" customHeight="false" outlineLevel="0" collapsed="false">
      <c r="A17" s="6" t="s">
        <v>22</v>
      </c>
      <c r="B17" s="9" t="n">
        <f aca="false">-B8</f>
        <v>-372</v>
      </c>
    </row>
    <row r="18" customFormat="false" ht="15" hidden="false" customHeight="false" outlineLevel="0" collapsed="false">
      <c r="A18" s="10" t="s">
        <v>23</v>
      </c>
      <c r="B18" s="11" t="n">
        <f aca="false">SUM(B16:B17)</f>
        <v>482.99</v>
      </c>
      <c r="C18" s="8" t="s">
        <v>24</v>
      </c>
    </row>
    <row r="19" customFormat="false" ht="15" hidden="false" customHeight="false" outlineLevel="0" collapsed="false">
      <c r="A19" s="6" t="s">
        <v>25</v>
      </c>
      <c r="B19" s="9" t="n">
        <f aca="false">-B9</f>
        <v>-50</v>
      </c>
    </row>
    <row r="20" customFormat="false" ht="15" hidden="false" customHeight="false" outlineLevel="0" collapsed="false">
      <c r="A20" s="12" t="s">
        <v>26</v>
      </c>
      <c r="B20" s="13" t="n">
        <f aca="false">SUM(B18:B19)</f>
        <v>432.99</v>
      </c>
      <c r="C20" s="8" t="s">
        <v>27</v>
      </c>
    </row>
    <row r="22" customFormat="false" ht="19.5" hidden="false" customHeight="true" outlineLevel="0" collapsed="false">
      <c r="A22" s="3" t="s">
        <v>28</v>
      </c>
      <c r="B22" s="4"/>
      <c r="C22" s="4"/>
    </row>
    <row r="23" customFormat="false" ht="15" hidden="false" customHeight="false" outlineLevel="0" collapsed="false">
      <c r="A23" s="8" t="s">
        <v>29</v>
      </c>
    </row>
    <row r="25" customFormat="false" ht="15" hidden="false" customHeight="false" outlineLevel="0" collapsed="false">
      <c r="A25" s="6" t="s">
        <v>30</v>
      </c>
      <c r="B25" s="9" t="n">
        <f aca="false">B10-B11</f>
        <v>4.51</v>
      </c>
      <c r="C25" s="8" t="s">
        <v>31</v>
      </c>
    </row>
    <row r="26" customFormat="false" ht="15" hidden="false" customHeight="false" outlineLevel="0" collapsed="false">
      <c r="A26" s="6" t="s">
        <v>32</v>
      </c>
      <c r="B26" s="14" t="n">
        <f aca="false">(B10-B11)/B10</f>
        <v>0.0902</v>
      </c>
    </row>
    <row r="27" customFormat="false" ht="15" hidden="false" customHeight="false" outlineLevel="0" collapsed="false">
      <c r="A27" s="15" t="s">
        <v>33</v>
      </c>
      <c r="B27" s="16" t="n">
        <f aca="false">'PSN-Karten'!B18</f>
        <v>396.91</v>
      </c>
      <c r="C27" s="8" t="s">
        <v>34</v>
      </c>
    </row>
    <row r="28" customFormat="false" ht="15" hidden="false" customHeight="false" outlineLevel="0" collapsed="false">
      <c r="A28" s="6" t="s">
        <v>35</v>
      </c>
      <c r="B28" s="17" t="n">
        <f aca="false">'PSN-Karten'!B25</f>
        <v>409.41</v>
      </c>
      <c r="C28" s="8" t="s">
        <v>36</v>
      </c>
    </row>
    <row r="29" customFormat="false" ht="15" hidden="false" customHeight="false" outlineLevel="0" collapsed="false">
      <c r="A29" s="6" t="s">
        <v>37</v>
      </c>
      <c r="B29" s="17" t="n">
        <f aca="false">'PSN-Karten'!B24</f>
        <v>17.01</v>
      </c>
      <c r="C29" s="8" t="s">
        <v>38</v>
      </c>
    </row>
    <row r="31" customFormat="false" ht="19.5" hidden="false" customHeight="true" outlineLevel="0" collapsed="false">
      <c r="A31" s="3" t="s">
        <v>39</v>
      </c>
      <c r="B31" s="4"/>
      <c r="C31" s="4"/>
    </row>
    <row r="32" customFormat="false" ht="15" hidden="false" customHeight="false" outlineLevel="0" collapsed="false">
      <c r="A32" s="6" t="s">
        <v>40</v>
      </c>
      <c r="B32" s="9" t="n">
        <f aca="false">B8+B9</f>
        <v>422</v>
      </c>
      <c r="C32" s="8" t="s">
        <v>41</v>
      </c>
    </row>
    <row r="33" customFormat="false" ht="15" hidden="false" customHeight="false" outlineLevel="0" collapsed="false">
      <c r="A33" s="6" t="s">
        <v>42</v>
      </c>
      <c r="B33" s="9" t="n">
        <f aca="false">B8+B9+0.01</f>
        <v>422.01</v>
      </c>
      <c r="C33" s="8" t="s">
        <v>43</v>
      </c>
    </row>
    <row r="34" customFormat="false" ht="15" hidden="false" customHeight="false" outlineLevel="0" collapsed="false">
      <c r="A34" s="6" t="s">
        <v>44</v>
      </c>
      <c r="B34" s="9" t="n">
        <f aca="false">B9/B10*B11</f>
        <v>45.49</v>
      </c>
      <c r="C34" s="8" t="s">
        <v>45</v>
      </c>
    </row>
    <row r="35" customFormat="false" ht="15" hidden="false" customHeight="false" outlineLevel="0" collapsed="false">
      <c r="A35" s="6" t="s">
        <v>46</v>
      </c>
      <c r="B35" s="9" t="n">
        <f aca="false">B8+B9/B10*B11</f>
        <v>417.49</v>
      </c>
      <c r="C35" s="8" t="s">
        <v>47</v>
      </c>
    </row>
    <row r="37" customFormat="false" ht="19.5" hidden="false" customHeight="true" outlineLevel="0" collapsed="false">
      <c r="A37" s="3" t="s">
        <v>48</v>
      </c>
      <c r="B37" s="4"/>
      <c r="C37" s="4"/>
    </row>
    <row r="38" customFormat="false" ht="25.5" hidden="false" customHeight="true" outlineLevel="0" collapsed="false">
      <c r="A38" s="18" t="s">
        <v>49</v>
      </c>
      <c r="B38" s="18"/>
      <c r="C38" s="18"/>
    </row>
    <row r="39" customFormat="false" ht="25.5" hidden="false" customHeight="true" outlineLevel="0" collapsed="false">
      <c r="A39" s="18" t="s">
        <v>50</v>
      </c>
      <c r="B39" s="18"/>
      <c r="C39" s="18"/>
    </row>
    <row r="40" customFormat="false" ht="25.5" hidden="false" customHeight="true" outlineLevel="0" collapsed="false">
      <c r="A40" s="18" t="s">
        <v>51</v>
      </c>
      <c r="B40" s="18"/>
      <c r="C40" s="18"/>
    </row>
    <row r="41" customFormat="false" ht="25.5" hidden="false" customHeight="true" outlineLevel="0" collapsed="false">
      <c r="A41" s="18" t="s">
        <v>52</v>
      </c>
      <c r="B41" s="18"/>
      <c r="C41" s="18"/>
    </row>
  </sheetData>
  <mergeCells count="4">
    <mergeCell ref="A38:C38"/>
    <mergeCell ref="A39:C39"/>
    <mergeCell ref="A40:C40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5"/>
    <col collapsed="false" customWidth="true" hidden="false" outlineLevel="0" max="5" min="5" style="0" width="22"/>
  </cols>
  <sheetData>
    <row r="1" customFormat="false" ht="21.75" hidden="false" customHeight="tru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9.5" hidden="false" customHeight="true" outlineLevel="0" collapsed="false">
      <c r="A4" s="3" t="s">
        <v>55</v>
      </c>
      <c r="B4" s="4"/>
      <c r="C4" s="4"/>
    </row>
    <row r="5" customFormat="false" ht="15" hidden="false" customHeight="false" outlineLevel="0" collapsed="false">
      <c r="A5" s="6" t="s">
        <v>56</v>
      </c>
      <c r="B5" s="17" t="n">
        <f aca="false">Kalkulation!B20</f>
        <v>432.99</v>
      </c>
    </row>
    <row r="6" customFormat="false" ht="15" hidden="false" customHeight="false" outlineLevel="0" collapsed="false">
      <c r="A6" s="6" t="s">
        <v>57</v>
      </c>
      <c r="B6" s="17" t="n">
        <f aca="false">Kalkulation!B10</f>
        <v>50</v>
      </c>
    </row>
    <row r="7" customFormat="false" ht="15" hidden="false" customHeight="false" outlineLevel="0" collapsed="false">
      <c r="A7" s="6" t="s">
        <v>58</v>
      </c>
      <c r="B7" s="17" t="n">
        <f aca="false">Kalkulation!B11</f>
        <v>45.49</v>
      </c>
    </row>
    <row r="8" customFormat="false" ht="15" hidden="false" customHeight="false" outlineLevel="0" collapsed="false">
      <c r="A8" s="6" t="s">
        <v>59</v>
      </c>
      <c r="B8" s="9" t="n">
        <f aca="false">B6-B7</f>
        <v>4.51</v>
      </c>
    </row>
    <row r="9" customFormat="false" ht="15" hidden="false" customHeight="false" outlineLevel="0" collapsed="false">
      <c r="A9" s="6" t="s">
        <v>32</v>
      </c>
      <c r="B9" s="14" t="n">
        <f aca="false">B8/B6</f>
        <v>0.0902</v>
      </c>
    </row>
    <row r="11" customFormat="false" ht="19.5" hidden="false" customHeight="true" outlineLevel="0" collapsed="false">
      <c r="A11" s="3" t="s">
        <v>60</v>
      </c>
      <c r="B11" s="4"/>
      <c r="C11" s="4"/>
    </row>
    <row r="12" customFormat="false" ht="15" hidden="false" customHeight="false" outlineLevel="0" collapsed="false">
      <c r="A12" s="6" t="s">
        <v>61</v>
      </c>
      <c r="B12" s="19" t="n">
        <f aca="false">B5/B6</f>
        <v>8.6598</v>
      </c>
      <c r="C12" s="8" t="s">
        <v>62</v>
      </c>
    </row>
    <row r="13" customFormat="false" ht="15" hidden="false" customHeight="false" outlineLevel="0" collapsed="false">
      <c r="A13" s="6" t="s">
        <v>63</v>
      </c>
      <c r="B13" s="20" t="n">
        <f aca="false">ROUNDDOWN(B5/B6,0)</f>
        <v>8</v>
      </c>
      <c r="C13" s="8" t="s">
        <v>64</v>
      </c>
    </row>
    <row r="14" customFormat="false" ht="15" hidden="false" customHeight="false" outlineLevel="0" collapsed="false">
      <c r="A14" s="6" t="s">
        <v>65</v>
      </c>
      <c r="B14" s="9" t="n">
        <f aca="false">B13*B6</f>
        <v>400</v>
      </c>
    </row>
    <row r="15" customFormat="false" ht="15" hidden="false" customHeight="false" outlineLevel="0" collapsed="false">
      <c r="A15" s="6" t="s">
        <v>66</v>
      </c>
      <c r="B15" s="9" t="n">
        <f aca="false">B13*B7</f>
        <v>363.92</v>
      </c>
    </row>
    <row r="16" customFormat="false" ht="15" hidden="false" customHeight="false" outlineLevel="0" collapsed="false">
      <c r="A16" s="6" t="s">
        <v>67</v>
      </c>
      <c r="B16" s="9" t="n">
        <f aca="false">B5-B14</f>
        <v>32.99</v>
      </c>
      <c r="C16" s="8" t="s">
        <v>68</v>
      </c>
    </row>
    <row r="17" customFormat="false" ht="15" hidden="false" customHeight="false" outlineLevel="0" collapsed="false">
      <c r="A17" s="6" t="s">
        <v>69</v>
      </c>
      <c r="B17" s="9" t="n">
        <f aca="false">0</f>
        <v>0</v>
      </c>
      <c r="C17" s="8" t="s">
        <v>70</v>
      </c>
    </row>
    <row r="18" customFormat="false" ht="15" hidden="false" customHeight="false" outlineLevel="0" collapsed="false">
      <c r="A18" s="15" t="s">
        <v>71</v>
      </c>
      <c r="B18" s="21" t="n">
        <f aca="false">B15+B16</f>
        <v>396.91</v>
      </c>
      <c r="C18" s="8" t="s">
        <v>72</v>
      </c>
    </row>
    <row r="19" customFormat="false" ht="15" hidden="false" customHeight="false" outlineLevel="0" collapsed="false">
      <c r="A19" s="6" t="s">
        <v>73</v>
      </c>
      <c r="B19" s="9" t="n">
        <f aca="false">B5-B18</f>
        <v>36.08</v>
      </c>
    </row>
    <row r="21" customFormat="false" ht="19.5" hidden="false" customHeight="true" outlineLevel="0" collapsed="false">
      <c r="A21" s="3" t="s">
        <v>74</v>
      </c>
      <c r="B21" s="4"/>
      <c r="C21" s="4"/>
    </row>
    <row r="22" customFormat="false" ht="15" hidden="false" customHeight="false" outlineLevel="0" collapsed="false">
      <c r="A22" s="6" t="s">
        <v>75</v>
      </c>
      <c r="B22" s="20" t="n">
        <f aca="false">ROUNDUP(B5/B6,0)</f>
        <v>9</v>
      </c>
    </row>
    <row r="23" customFormat="false" ht="15" hidden="false" customHeight="false" outlineLevel="0" collapsed="false">
      <c r="A23" s="6" t="s">
        <v>65</v>
      </c>
      <c r="B23" s="9" t="n">
        <f aca="false">B22*B6</f>
        <v>450</v>
      </c>
    </row>
    <row r="24" customFormat="false" ht="15" hidden="false" customHeight="false" outlineLevel="0" collapsed="false">
      <c r="A24" s="6" t="s">
        <v>76</v>
      </c>
      <c r="B24" s="9" t="n">
        <f aca="false">B23-B5</f>
        <v>17.01</v>
      </c>
      <c r="C24" s="8" t="s">
        <v>77</v>
      </c>
    </row>
    <row r="25" customFormat="false" ht="15" hidden="false" customHeight="false" outlineLevel="0" collapsed="false">
      <c r="A25" s="22" t="s">
        <v>78</v>
      </c>
      <c r="B25" s="11" t="n">
        <f aca="false">B22*B7</f>
        <v>409.41</v>
      </c>
      <c r="C25" s="8" t="s">
        <v>79</v>
      </c>
    </row>
    <row r="26" customFormat="false" ht="15" hidden="false" customHeight="false" outlineLevel="0" collapsed="false">
      <c r="A26" s="6" t="s">
        <v>73</v>
      </c>
      <c r="B26" s="9" t="n">
        <f aca="false">B5-B25</f>
        <v>23.58</v>
      </c>
    </row>
    <row r="27" customFormat="false" ht="15" hidden="false" customHeight="false" outlineLevel="0" collapsed="false">
      <c r="A27" s="6" t="s">
        <v>80</v>
      </c>
      <c r="B27" s="9" t="n">
        <f aca="false">B25-B24</f>
        <v>392.4</v>
      </c>
      <c r="C27" s="8" t="s">
        <v>81</v>
      </c>
    </row>
    <row r="29" customFormat="false" ht="19.5" hidden="false" customHeight="true" outlineLevel="0" collapsed="false">
      <c r="A29" s="3" t="s">
        <v>82</v>
      </c>
      <c r="B29" s="4"/>
      <c r="C29" s="4"/>
    </row>
    <row r="30" customFormat="false" ht="15" hidden="false" customHeight="false" outlineLevel="0" collapsed="false">
      <c r="A30" s="23" t="s">
        <v>83</v>
      </c>
      <c r="B30" s="23" t="s">
        <v>84</v>
      </c>
      <c r="C30" s="23" t="s">
        <v>85</v>
      </c>
      <c r="D30" s="23" t="s">
        <v>86</v>
      </c>
      <c r="E30" s="23" t="s">
        <v>87</v>
      </c>
    </row>
    <row r="31" customFormat="false" ht="15" hidden="false" customHeight="false" outlineLevel="0" collapsed="false">
      <c r="A31" s="24" t="n">
        <v>1</v>
      </c>
      <c r="B31" s="25" t="n">
        <f aca="false">A31*$B$6</f>
        <v>50</v>
      </c>
      <c r="C31" s="25" t="n">
        <f aca="false">A31*$B$7</f>
        <v>45.49</v>
      </c>
      <c r="D31" s="25" t="n">
        <f aca="false">A31*($B$6-$B$7)</f>
        <v>4.51</v>
      </c>
      <c r="E31" s="25" t="n">
        <f aca="false">MAX(0,$B$5-B31)</f>
        <v>382.99</v>
      </c>
    </row>
    <row r="32" customFormat="false" ht="15" hidden="false" customHeight="false" outlineLevel="0" collapsed="false">
      <c r="A32" s="26" t="n">
        <v>2</v>
      </c>
      <c r="B32" s="27" t="n">
        <f aca="false">A32*$B$6</f>
        <v>100</v>
      </c>
      <c r="C32" s="27" t="n">
        <f aca="false">A32*$B$7</f>
        <v>90.98</v>
      </c>
      <c r="D32" s="27" t="n">
        <f aca="false">A32*($B$6-$B$7)</f>
        <v>9.02</v>
      </c>
      <c r="E32" s="27" t="n">
        <f aca="false">MAX(0,$B$5-B32)</f>
        <v>332.99</v>
      </c>
    </row>
    <row r="33" customFormat="false" ht="15" hidden="false" customHeight="false" outlineLevel="0" collapsed="false">
      <c r="A33" s="24" t="n">
        <v>3</v>
      </c>
      <c r="B33" s="25" t="n">
        <f aca="false">A33*$B$6</f>
        <v>150</v>
      </c>
      <c r="C33" s="25" t="n">
        <f aca="false">A33*$B$7</f>
        <v>136.47</v>
      </c>
      <c r="D33" s="25" t="n">
        <f aca="false">A33*($B$6-$B$7)</f>
        <v>13.53</v>
      </c>
      <c r="E33" s="25" t="n">
        <f aca="false">MAX(0,$B$5-B33)</f>
        <v>282.99</v>
      </c>
    </row>
    <row r="34" customFormat="false" ht="15" hidden="false" customHeight="false" outlineLevel="0" collapsed="false">
      <c r="A34" s="26" t="n">
        <v>4</v>
      </c>
      <c r="B34" s="27" t="n">
        <f aca="false">A34*$B$6</f>
        <v>200</v>
      </c>
      <c r="C34" s="27" t="n">
        <f aca="false">A34*$B$7</f>
        <v>181.96</v>
      </c>
      <c r="D34" s="27" t="n">
        <f aca="false">A34*($B$6-$B$7)</f>
        <v>18.04</v>
      </c>
      <c r="E34" s="27" t="n">
        <f aca="false">MAX(0,$B$5-B34)</f>
        <v>232.99</v>
      </c>
    </row>
    <row r="35" customFormat="false" ht="15" hidden="false" customHeight="false" outlineLevel="0" collapsed="false">
      <c r="A35" s="24" t="n">
        <v>5</v>
      </c>
      <c r="B35" s="25" t="n">
        <f aca="false">A35*$B$6</f>
        <v>250</v>
      </c>
      <c r="C35" s="25" t="n">
        <f aca="false">A35*$B$7</f>
        <v>227.45</v>
      </c>
      <c r="D35" s="25" t="n">
        <f aca="false">A35*($B$6-$B$7)</f>
        <v>22.55</v>
      </c>
      <c r="E35" s="25" t="n">
        <f aca="false">MAX(0,$B$5-B35)</f>
        <v>182.99</v>
      </c>
    </row>
    <row r="36" customFormat="false" ht="15" hidden="false" customHeight="false" outlineLevel="0" collapsed="false">
      <c r="A36" s="26" t="n">
        <v>6</v>
      </c>
      <c r="B36" s="27" t="n">
        <f aca="false">A36*$B$6</f>
        <v>300</v>
      </c>
      <c r="C36" s="27" t="n">
        <f aca="false">A36*$B$7</f>
        <v>272.94</v>
      </c>
      <c r="D36" s="27" t="n">
        <f aca="false">A36*($B$6-$B$7)</f>
        <v>27.06</v>
      </c>
      <c r="E36" s="27" t="n">
        <f aca="false">MAX(0,$B$5-B36)</f>
        <v>132.99</v>
      </c>
    </row>
    <row r="37" customFormat="false" ht="15" hidden="false" customHeight="false" outlineLevel="0" collapsed="false">
      <c r="A37" s="24" t="n">
        <v>7</v>
      </c>
      <c r="B37" s="25" t="n">
        <f aca="false">A37*$B$6</f>
        <v>350</v>
      </c>
      <c r="C37" s="25" t="n">
        <f aca="false">A37*$B$7</f>
        <v>318.43</v>
      </c>
      <c r="D37" s="25" t="n">
        <f aca="false">A37*($B$6-$B$7)</f>
        <v>31.57</v>
      </c>
      <c r="E37" s="25" t="n">
        <f aca="false">MAX(0,$B$5-B37)</f>
        <v>82.99</v>
      </c>
    </row>
    <row r="38" customFormat="false" ht="15" hidden="false" customHeight="false" outlineLevel="0" collapsed="false">
      <c r="A38" s="26" t="n">
        <v>8</v>
      </c>
      <c r="B38" s="27" t="n">
        <f aca="false">A38*$B$6</f>
        <v>400</v>
      </c>
      <c r="C38" s="27" t="n">
        <f aca="false">A38*$B$7</f>
        <v>363.92</v>
      </c>
      <c r="D38" s="27" t="n">
        <f aca="false">A38*($B$6-$B$7)</f>
        <v>36.08</v>
      </c>
      <c r="E38" s="27" t="n">
        <f aca="false">MAX(0,$B$5-B38)</f>
        <v>32.99</v>
      </c>
    </row>
    <row r="39" customFormat="false" ht="15" hidden="false" customHeight="false" outlineLevel="0" collapsed="false">
      <c r="A39" s="24" t="n">
        <v>9</v>
      </c>
      <c r="B39" s="25" t="n">
        <f aca="false">A39*$B$6</f>
        <v>450</v>
      </c>
      <c r="C39" s="25" t="n">
        <f aca="false">A39*$B$7</f>
        <v>409.41</v>
      </c>
      <c r="D39" s="25" t="n">
        <f aca="false">A39*($B$6-$B$7)</f>
        <v>40.59</v>
      </c>
      <c r="E39" s="25" t="n">
        <f aca="false">MAX(0,$B$5-B39)</f>
        <v>0</v>
      </c>
    </row>
    <row r="40" customFormat="false" ht="15" hidden="false" customHeight="false" outlineLevel="0" collapsed="false">
      <c r="A40" s="26" t="n">
        <v>10</v>
      </c>
      <c r="B40" s="27" t="n">
        <f aca="false">A40*$B$6</f>
        <v>500</v>
      </c>
      <c r="C40" s="27" t="n">
        <f aca="false">A40*$B$7</f>
        <v>454.9</v>
      </c>
      <c r="D40" s="27" t="n">
        <f aca="false">A40*($B$6-$B$7)</f>
        <v>45.1</v>
      </c>
      <c r="E40" s="27" t="n">
        <f aca="false">MAX(0,$B$5-B40)</f>
        <v>0</v>
      </c>
    </row>
    <row r="41" customFormat="false" ht="15" hidden="false" customHeight="false" outlineLevel="0" collapsed="false">
      <c r="A41" s="24" t="n">
        <v>11</v>
      </c>
      <c r="B41" s="25" t="n">
        <f aca="false">A41*$B$6</f>
        <v>550</v>
      </c>
      <c r="C41" s="25" t="n">
        <f aca="false">A41*$B$7</f>
        <v>500.39</v>
      </c>
      <c r="D41" s="25" t="n">
        <f aca="false">A41*($B$6-$B$7)</f>
        <v>49.61</v>
      </c>
      <c r="E41" s="25" t="n">
        <f aca="false">MAX(0,$B$5-B41)</f>
        <v>0</v>
      </c>
    </row>
    <row r="42" customFormat="false" ht="15" hidden="false" customHeight="false" outlineLevel="0" collapsed="false">
      <c r="A42" s="26" t="n">
        <v>12</v>
      </c>
      <c r="B42" s="27" t="n">
        <f aca="false">A42*$B$6</f>
        <v>600</v>
      </c>
      <c r="C42" s="27" t="n">
        <f aca="false">A42*$B$7</f>
        <v>545.88</v>
      </c>
      <c r="D42" s="27" t="n">
        <f aca="false">A42*($B$6-$B$7)</f>
        <v>54.12</v>
      </c>
      <c r="E42" s="27" t="n">
        <f aca="false">MAX(0,$B$5-B42)</f>
        <v>0</v>
      </c>
    </row>
    <row r="44" customFormat="false" ht="24" hidden="false" customHeight="true" outlineLevel="0" collapsed="false">
      <c r="A44" s="18" t="s">
        <v>88</v>
      </c>
      <c r="B44" s="18"/>
      <c r="C44" s="18"/>
      <c r="D44" s="18"/>
      <c r="E44" s="18"/>
    </row>
  </sheetData>
  <mergeCells count="1">
    <mergeCell ref="A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54"/>
  </cols>
  <sheetData>
    <row r="1" customFormat="false" ht="21.75" hidden="false" customHeight="tru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8" hidden="false" customHeight="true" outlineLevel="0" collapsed="false">
      <c r="A4" s="28" t="s">
        <v>91</v>
      </c>
      <c r="B4" s="28" t="s">
        <v>92</v>
      </c>
      <c r="C4" s="28" t="s">
        <v>86</v>
      </c>
      <c r="D4" s="28" t="s">
        <v>93</v>
      </c>
    </row>
    <row r="5" customFormat="false" ht="15" hidden="false" customHeight="false" outlineLevel="0" collapsed="false">
      <c r="A5" s="29" t="s">
        <v>94</v>
      </c>
      <c r="B5" s="30" t="n">
        <f aca="false">Kalkulation!B6</f>
        <v>899.99</v>
      </c>
      <c r="C5" s="25" t="n">
        <f aca="false">$B$5-B5</f>
        <v>0</v>
      </c>
      <c r="D5" s="31" t="s">
        <v>95</v>
      </c>
    </row>
    <row r="6" customFormat="false" ht="15" hidden="false" customHeight="false" outlineLevel="0" collapsed="false">
      <c r="A6" s="29" t="s">
        <v>96</v>
      </c>
      <c r="B6" s="30" t="n">
        <f aca="false">Kalkulation!B16</f>
        <v>854.99</v>
      </c>
      <c r="C6" s="25" t="n">
        <f aca="false">$B$5-B6</f>
        <v>45</v>
      </c>
      <c r="D6" s="31" t="s">
        <v>97</v>
      </c>
    </row>
    <row r="7" customFormat="false" ht="15" hidden="false" customHeight="false" outlineLevel="0" collapsed="false">
      <c r="A7" s="29" t="s">
        <v>98</v>
      </c>
      <c r="B7" s="30" t="n">
        <f aca="false">Kalkulation!B18</f>
        <v>482.99</v>
      </c>
      <c r="C7" s="25" t="n">
        <f aca="false">$B$5-B7</f>
        <v>417</v>
      </c>
      <c r="D7" s="31" t="s">
        <v>99</v>
      </c>
    </row>
    <row r="8" customFormat="false" ht="15" hidden="false" customHeight="false" outlineLevel="0" collapsed="false">
      <c r="A8" s="29" t="s">
        <v>100</v>
      </c>
      <c r="B8" s="30" t="n">
        <f aca="false">Kalkulation!B20</f>
        <v>432.99</v>
      </c>
      <c r="C8" s="25" t="n">
        <f aca="false">$B$5-B8</f>
        <v>467</v>
      </c>
      <c r="D8" s="31" t="s">
        <v>101</v>
      </c>
    </row>
    <row r="9" customFormat="false" ht="15" hidden="false" customHeight="false" outlineLevel="0" collapsed="false">
      <c r="A9" s="32" t="s">
        <v>102</v>
      </c>
      <c r="B9" s="33" t="n">
        <f aca="false">'PSN-Karten'!B18</f>
        <v>396.91</v>
      </c>
      <c r="C9" s="34" t="n">
        <f aca="false">$B$5-B9</f>
        <v>503.08</v>
      </c>
      <c r="D9" s="35" t="s">
        <v>103</v>
      </c>
    </row>
    <row r="10" customFormat="false" ht="15" hidden="false" customHeight="false" outlineLevel="0" collapsed="false">
      <c r="A10" s="29" t="s">
        <v>104</v>
      </c>
      <c r="B10" s="30" t="n">
        <f aca="false">'PSN-Karten'!B25</f>
        <v>409.41</v>
      </c>
      <c r="C10" s="25" t="n">
        <f aca="false">$B$5-B10</f>
        <v>490.58</v>
      </c>
      <c r="D10" s="31" t="s">
        <v>105</v>
      </c>
    </row>
    <row r="12" customFormat="false" ht="19.5" hidden="false" customHeight="true" outlineLevel="0" collapsed="false">
      <c r="A12" s="3" t="s">
        <v>106</v>
      </c>
      <c r="B12" s="4"/>
      <c r="C12" s="4"/>
      <c r="D12" s="4"/>
    </row>
    <row r="13" customFormat="false" ht="15" hidden="false" customHeight="false" outlineLevel="0" collapsed="false">
      <c r="A13" s="22" t="s">
        <v>107</v>
      </c>
      <c r="B13" s="36" t="n">
        <f aca="false">MIN(B5:B10)</f>
        <v>396.91</v>
      </c>
      <c r="D13" s="37" t="s">
        <v>108</v>
      </c>
    </row>
    <row r="14" customFormat="false" ht="15" hidden="false" customHeight="false" outlineLevel="0" collapsed="false">
      <c r="A14" s="22" t="s">
        <v>109</v>
      </c>
      <c r="B14" s="36" t="n">
        <f aca="false">B5-MIN(B5:B10)</f>
        <v>503.08</v>
      </c>
    </row>
    <row r="15" customFormat="false" ht="15" hidden="false" customHeight="false" outlineLevel="0" collapsed="false">
      <c r="A15" s="0" t="s">
        <v>110</v>
      </c>
      <c r="B15" s="14" t="n">
        <f aca="false">(B5-MIN(B5:B10))/B5</f>
        <v>0.558983988710986</v>
      </c>
    </row>
    <row r="17" customFormat="false" ht="39.75" hidden="false" customHeight="true" outlineLevel="0" collapsed="false">
      <c r="A17" s="18" t="s">
        <v>111</v>
      </c>
      <c r="B17" s="18"/>
      <c r="C17" s="18"/>
      <c r="D17" s="18"/>
    </row>
  </sheetData>
  <mergeCells count="1"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2026-08-12T17:35:36Z</dcterms:created>
  <dc:creator>openpyxl</dc:creator>
  <dc:description/>
  <dc:language>en-US</dc:language>
  <cp:lastModifiedBy/>
  <dcterms:modified xsi:type="dcterms:W3CDTF">2026-08-12T17:35:36Z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